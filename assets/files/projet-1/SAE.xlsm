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coo\Downloads\"/>
    </mc:Choice>
  </mc:AlternateContent>
  <xr:revisionPtr revIDLastSave="0" documentId="13_ncr:1_{48237FFF-F766-4390-85CA-D582AC9F4551}" xr6:coauthVersionLast="47" xr6:coauthVersionMax="47" xr10:uidLastSave="{00000000-0000-0000-0000-000000000000}"/>
  <bookViews>
    <workbookView xWindow="-108" yWindow="-108" windowWidth="23256" windowHeight="13896" xr2:uid="{AD998BB4-0D1E-4FE5-90F8-4CE9C56066DB}"/>
  </bookViews>
  <sheets>
    <sheet name="Tableau de bord" sheetId="5" r:id="rId1"/>
    <sheet name="Graphique" sheetId="6" r:id="rId2"/>
    <sheet name="Semestre1" sheetId="2" r:id="rId3"/>
    <sheet name="Semestre2" sheetId="3" r:id="rId4"/>
  </sheets>
  <functionGroups builtInGroupCount="19"/>
  <definedNames>
    <definedName name="_xlchart.v1.0" hidden="1">Semestre1!$AA$3:$AA$23</definedName>
    <definedName name="_xlchart.v1.1" hidden="1">Semestre1!$AB$3:$AB$23</definedName>
    <definedName name="_xlchart.v1.10" hidden="1">Semestre1!$J$3:$J$23</definedName>
    <definedName name="_xlchart.v1.11" hidden="1">Semestre1!$J$4:$J$23</definedName>
    <definedName name="_xlchart.v1.12" hidden="1">Semestre1!$K$3</definedName>
    <definedName name="_xlchart.v1.13" hidden="1">Semestre1!$K$3:$K$23</definedName>
    <definedName name="_xlchart.v1.14" hidden="1">Semestre1!$K$4:$K$23</definedName>
    <definedName name="_xlchart.v1.15" hidden="1">Semestre1!$L$3:$L$23</definedName>
    <definedName name="_xlchart.v1.16" hidden="1">Semestre1!$M$3:$M$23</definedName>
    <definedName name="_xlchart.v1.17" hidden="1">Semestre1!$N$3:$N$23</definedName>
    <definedName name="_xlchart.v1.18" hidden="1">Semestre1!$O$3:$O$23</definedName>
    <definedName name="_xlchart.v1.19" hidden="1">Semestre1!$P$3:$P$23</definedName>
    <definedName name="_xlchart.v1.2" hidden="1">Semestre1!$AC$3:$AC$23</definedName>
    <definedName name="_xlchart.v1.20" hidden="1">Semestre1!$Q$3:$Q$23</definedName>
    <definedName name="_xlchart.v1.21" hidden="1">Semestre1!$R$3:$R$23</definedName>
    <definedName name="_xlchart.v1.22" hidden="1">Semestre1!$S$3:$S$23</definedName>
    <definedName name="_xlchart.v1.23" hidden="1">Semestre1!$T$3:$T$23</definedName>
    <definedName name="_xlchart.v1.24" hidden="1">Semestre1!$U$3:$U$23</definedName>
    <definedName name="_xlchart.v1.25" hidden="1">Semestre1!$V$3:$V$23</definedName>
    <definedName name="_xlchart.v1.26" hidden="1">Semestre1!$W$3:$W$23</definedName>
    <definedName name="_xlchart.v1.27" hidden="1">Semestre1!$X$3:$X$23</definedName>
    <definedName name="_xlchart.v1.28" hidden="1">Semestre1!$Y$3:$Y$23</definedName>
    <definedName name="_xlchart.v1.29" hidden="1">Semestre1!$Z$3:$Z$23</definedName>
    <definedName name="_xlchart.v1.3" hidden="1">Semestre1!$H$3</definedName>
    <definedName name="_xlchart.v1.30" hidden="1">Semestre2!$H$3</definedName>
    <definedName name="_xlchart.v1.31" hidden="1">Semestre2!$H$3:$H$32</definedName>
    <definedName name="_xlchart.v1.32" hidden="1">Semestre2!$H$4:$H$32</definedName>
    <definedName name="_xlchart.v1.33" hidden="1">Semestre2!$I$3</definedName>
    <definedName name="_xlchart.v1.34" hidden="1">Semestre2!$I$3:$I$32</definedName>
    <definedName name="_xlchart.v1.35" hidden="1">Semestre2!$I$4:$I$32</definedName>
    <definedName name="_xlchart.v1.36" hidden="1">Semestre2!$J$3</definedName>
    <definedName name="_xlchart.v1.37" hidden="1">Semestre2!$J$3:$J$32</definedName>
    <definedName name="_xlchart.v1.38" hidden="1">Semestre2!$J$4:$J$32</definedName>
    <definedName name="_xlchart.v1.39" hidden="1">Semestre2!$K$3</definedName>
    <definedName name="_xlchart.v1.4" hidden="1">Semestre1!$H$3:$H$23</definedName>
    <definedName name="_xlchart.v1.40" hidden="1">Semestre2!$K$3:$K$32</definedName>
    <definedName name="_xlchart.v1.41" hidden="1">Semestre2!$K$4:$K$32</definedName>
    <definedName name="_xlchart.v1.42" hidden="1">Semestre2!$L$3:$L$32</definedName>
    <definedName name="_xlchart.v1.43" hidden="1">Semestre2!$M$3:$M$32</definedName>
    <definedName name="_xlchart.v1.44" hidden="1">Semestre2!$N$3:$N$32</definedName>
    <definedName name="_xlchart.v1.45" hidden="1">Semestre2!$O$3:$O$32</definedName>
    <definedName name="_xlchart.v1.46" hidden="1">Semestre2!$P$3:$P$32</definedName>
    <definedName name="_xlchart.v1.47" hidden="1">Semestre2!$Q$3:$Q$32</definedName>
    <definedName name="_xlchart.v1.48" hidden="1">Semestre2!$R$3:$R$32</definedName>
    <definedName name="_xlchart.v1.49" hidden="1">Semestre2!$S$3:$S$32</definedName>
    <definedName name="_xlchart.v1.5" hidden="1">Semestre1!$H$4:$H$23</definedName>
    <definedName name="_xlchart.v1.50" hidden="1">Semestre2!$T$3:$T$32</definedName>
    <definedName name="_xlchart.v1.51" hidden="1">Semestre2!$U$3:$U$32</definedName>
    <definedName name="_xlchart.v1.52" hidden="1">Semestre2!$V$3:$V$32</definedName>
    <definedName name="_xlchart.v1.53" hidden="1">Semestre2!$W$3:$W$32</definedName>
    <definedName name="_xlchart.v1.54" hidden="1">Semestre2!$X$3:$X$32</definedName>
    <definedName name="_xlchart.v1.55" hidden="1">Semestre2!$Y$3:$Y$32</definedName>
    <definedName name="_xlchart.v1.56" hidden="1">Semestre2!$Z$3:$Z$32</definedName>
    <definedName name="_xlchart.v1.57" hidden="1">Semestre2!$H$3</definedName>
    <definedName name="_xlchart.v1.58" hidden="1">Semestre2!$H$4:$H$32</definedName>
    <definedName name="_xlchart.v1.59" hidden="1">Semestre2!$I$3</definedName>
    <definedName name="_xlchart.v1.6" hidden="1">Semestre1!$I$3</definedName>
    <definedName name="_xlchart.v1.60" hidden="1">Semestre2!$I$4:$I$32</definedName>
    <definedName name="_xlchart.v1.61" hidden="1">Semestre2!$J$3</definedName>
    <definedName name="_xlchart.v1.62" hidden="1">Semestre2!$J$4:$J$32</definedName>
    <definedName name="_xlchart.v1.63" hidden="1">Semestre2!$K$3</definedName>
    <definedName name="_xlchart.v1.64" hidden="1">Semestre2!$K$4:$K$32</definedName>
    <definedName name="_xlchart.v1.7" hidden="1">Semestre1!$I$3:$I$23</definedName>
    <definedName name="_xlchart.v1.8" hidden="1">Semestre1!$I$4:$I$23</definedName>
    <definedName name="_xlchart.v1.9" hidden="1">Semestre1!$J$3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3" l="1"/>
  <c r="B35" i="3"/>
  <c r="F65" i="3" s="1"/>
  <c r="E4" i="3"/>
  <c r="E32" i="3"/>
  <c r="E52" i="3" s="1"/>
  <c r="E31" i="3"/>
  <c r="E51" i="3" s="1"/>
  <c r="E30" i="3"/>
  <c r="E50" i="3" s="1"/>
  <c r="E29" i="3"/>
  <c r="E49" i="3" s="1"/>
  <c r="E28" i="3"/>
  <c r="E48" i="3" s="1"/>
  <c r="E27" i="3"/>
  <c r="E47" i="3" s="1"/>
  <c r="E26" i="3"/>
  <c r="E46" i="3" s="1"/>
  <c r="E25" i="3"/>
  <c r="E45" i="3" s="1"/>
  <c r="E23" i="3"/>
  <c r="C54" i="3" s="1"/>
  <c r="E22" i="3"/>
  <c r="C53" i="3" s="1"/>
  <c r="E21" i="3"/>
  <c r="C52" i="3" s="1"/>
  <c r="E20" i="3"/>
  <c r="C51" i="3" s="1"/>
  <c r="E19" i="3"/>
  <c r="C50" i="3" s="1"/>
  <c r="E18" i="3"/>
  <c r="C49" i="3" s="1"/>
  <c r="E17" i="3"/>
  <c r="C48" i="3" s="1"/>
  <c r="E16" i="3"/>
  <c r="C47" i="3" s="1"/>
  <c r="E15" i="3"/>
  <c r="C46" i="3" s="1"/>
  <c r="E14" i="3"/>
  <c r="C45" i="3" s="1"/>
  <c r="E12" i="3"/>
  <c r="A53" i="3" s="1"/>
  <c r="E11" i="3"/>
  <c r="A52" i="3" s="1"/>
  <c r="E10" i="3"/>
  <c r="A51" i="3" s="1"/>
  <c r="E9" i="3"/>
  <c r="A50" i="3" s="1"/>
  <c r="E8" i="3"/>
  <c r="A49" i="3" s="1"/>
  <c r="E7" i="3"/>
  <c r="A48" i="3" s="1"/>
  <c r="E6" i="3"/>
  <c r="A47" i="3" s="1"/>
  <c r="E5" i="3"/>
  <c r="A46" i="3" s="1"/>
  <c r="E23" i="2"/>
  <c r="E39" i="2" s="1"/>
  <c r="E22" i="2"/>
  <c r="E38" i="2" s="1"/>
  <c r="E21" i="2"/>
  <c r="E37" i="2" s="1"/>
  <c r="E20" i="2"/>
  <c r="E36" i="2" s="1"/>
  <c r="E19" i="2"/>
  <c r="E35" i="2" s="1"/>
  <c r="E18" i="2"/>
  <c r="E34" i="2" s="1"/>
  <c r="E17" i="2"/>
  <c r="E33" i="2" s="1"/>
  <c r="E15" i="2"/>
  <c r="C37" i="2" s="1"/>
  <c r="E14" i="2"/>
  <c r="C36" i="2" s="1"/>
  <c r="E13" i="2"/>
  <c r="C35" i="2" s="1"/>
  <c r="E12" i="2"/>
  <c r="C34" i="2" s="1"/>
  <c r="E11" i="2"/>
  <c r="C33" i="2" s="1"/>
  <c r="E9" i="2"/>
  <c r="A38" i="2" s="1"/>
  <c r="E8" i="2"/>
  <c r="A37" i="2" s="1"/>
  <c r="E7" i="2"/>
  <c r="A36" i="2" s="1"/>
  <c r="E6" i="2"/>
  <c r="A35" i="2" s="1"/>
  <c r="E5" i="2"/>
  <c r="A34" i="2" s="1"/>
  <c r="E4" i="2"/>
  <c r="A33" i="2" s="1"/>
  <c r="E40" i="3" l="1"/>
  <c r="H36" i="2"/>
  <c r="F17" i="2"/>
  <c r="D92" i="3" s="1"/>
  <c r="H35" i="2"/>
  <c r="E38" i="3"/>
  <c r="F4" i="3"/>
  <c r="B93" i="3" s="1"/>
  <c r="H38" i="3"/>
  <c r="F4" i="2"/>
  <c r="B92" i="3" s="1"/>
  <c r="H34" i="2"/>
  <c r="F40" i="3"/>
  <c r="H40" i="3"/>
  <c r="F25" i="3"/>
  <c r="D93" i="3" s="1"/>
  <c r="E39" i="3"/>
  <c r="F11" i="2"/>
  <c r="C92" i="3" s="1"/>
  <c r="F38" i="3"/>
  <c r="F14" i="3"/>
  <c r="C93" i="3" s="1"/>
  <c r="H39" i="3"/>
  <c r="F39" i="3"/>
  <c r="H54" i="3" l="1"/>
  <c r="G54" i="3"/>
  <c r="G32" i="2"/>
  <c r="G53" i="3"/>
  <c r="H53" i="3"/>
  <c r="G55" i="3"/>
  <c r="H55" i="3"/>
  <c r="G37" i="3" l="1"/>
  <c r="I47" i="3" s="1"/>
  <c r="J53" i="3"/>
</calcChain>
</file>

<file path=xl/sharedStrings.xml><?xml version="1.0" encoding="utf-8"?>
<sst xmlns="http://schemas.openxmlformats.org/spreadsheetml/2006/main" count="175" uniqueCount="85">
  <si>
    <t>PPP1</t>
  </si>
  <si>
    <t>Tableur et Reporting</t>
  </si>
  <si>
    <t>Bases de données relationnelles 1</t>
  </si>
  <si>
    <t>Bases de la programmation 1</t>
  </si>
  <si>
    <t>SAE - Reporting à partir de données stockées dans un SGBD relationnel</t>
  </si>
  <si>
    <t>SAE - Ecriture et lecture de fichiers de données</t>
  </si>
  <si>
    <t>Statistique descriptive 1</t>
  </si>
  <si>
    <t>Probabilités 1</t>
  </si>
  <si>
    <t>Mathématiques - Analyse</t>
  </si>
  <si>
    <t>SAE - Préparation et synthèse d'un tableau de données en vue d'une analyse exploratoire simple</t>
  </si>
  <si>
    <t>Initiation à l'anglais de spécialité</t>
  </si>
  <si>
    <t>Communication de l'information et recherche documentaire</t>
  </si>
  <si>
    <t>Découverte des données de l’environnement entrepreneurial et économique</t>
  </si>
  <si>
    <t>SAE - Apprendre en situation la production de données en entreprise</t>
  </si>
  <si>
    <t>SAE - Présentation en anglais d'un territoire économique et culturel</t>
  </si>
  <si>
    <t>SAE - Mise en œuvre d'une enquête</t>
  </si>
  <si>
    <t>H. Bieber</t>
  </si>
  <si>
    <t>Bases de données relationnelles 2</t>
  </si>
  <si>
    <t>F. Garnier</t>
  </si>
  <si>
    <t>Bases de la programmation 2</t>
  </si>
  <si>
    <t>Programmation statistique</t>
  </si>
  <si>
    <t>L. Bureau</t>
  </si>
  <si>
    <t>Reporting et datavisualisation</t>
  </si>
  <si>
    <t>Statistique descriptive 2</t>
  </si>
  <si>
    <t>Statistique inférentielle</t>
  </si>
  <si>
    <t>M. Ibazizen</t>
  </si>
  <si>
    <t>Probabilités 2</t>
  </si>
  <si>
    <t>Bases de l’algèbre</t>
  </si>
  <si>
    <t>Approfondissement de l'anglais de spécialité</t>
  </si>
  <si>
    <t>E. Payet</t>
  </si>
  <si>
    <t>Etude des données de l'environnement entrepreneurial et économique</t>
  </si>
  <si>
    <t>S. Laurent</t>
  </si>
  <si>
    <t>A. Quintard</t>
  </si>
  <si>
    <t>PPP2</t>
  </si>
  <si>
    <t>SAE - Analyse de données, reporting et datavisualisation</t>
  </si>
  <si>
    <t>SAE - Conception et implémentation d'une base de données</t>
  </si>
  <si>
    <t>SAE - Datavisualisation</t>
  </si>
  <si>
    <t>SAE - Portfolio</t>
  </si>
  <si>
    <t>SAE - Estimation par échantillonnage</t>
  </si>
  <si>
    <t>SAE - Régression sur des données réelles</t>
  </si>
  <si>
    <t xml:space="preserve">Communication et sémiologie </t>
  </si>
  <si>
    <t>SAE - Construction et présentation d’indicateurs de performance</t>
  </si>
  <si>
    <t>Matière</t>
  </si>
  <si>
    <t>Coefficient</t>
  </si>
  <si>
    <t>L. Ali</t>
  </si>
  <si>
    <t>L. Bureau
F. Garnier</t>
  </si>
  <si>
    <t>F. Garnier
L. Bureau</t>
  </si>
  <si>
    <t>S. Laurent
L. Ali</t>
  </si>
  <si>
    <t>Note 1</t>
  </si>
  <si>
    <t>Note 2</t>
  </si>
  <si>
    <t>Note 3</t>
  </si>
  <si>
    <t>Note 4</t>
  </si>
  <si>
    <t>Professeur</t>
  </si>
  <si>
    <t>Moyenne</t>
  </si>
  <si>
    <t xml:space="preserve"> </t>
  </si>
  <si>
    <t>Compétence 1</t>
  </si>
  <si>
    <t>Compétence 2</t>
  </si>
  <si>
    <t>Compétence 3</t>
  </si>
  <si>
    <t>H. Bieber
N. Huche
N. Pétard</t>
  </si>
  <si>
    <t>G. Ceuterickx
F. Garnier</t>
  </si>
  <si>
    <t>A. Jacques
L. Bureau</t>
  </si>
  <si>
    <t>T. Agbahougbata
L. Bureau</t>
  </si>
  <si>
    <t>S. Abboud
F. Garnier
L. Bureau</t>
  </si>
  <si>
    <t>S. Laurent
V. Vallée</t>
  </si>
  <si>
    <t>L. Bureau
F. Garnier
T. Agbahougbata</t>
  </si>
  <si>
    <t>Moyenne du bloc</t>
  </si>
  <si>
    <t>abi</t>
  </si>
  <si>
    <t>Nombre d'absence injustifié</t>
  </si>
  <si>
    <t>Nombre d'absence injustifié total</t>
  </si>
  <si>
    <t>Moyenne du bonifiant</t>
  </si>
  <si>
    <t>moyenne glob</t>
  </si>
  <si>
    <t>version +</t>
  </si>
  <si>
    <t>moy-abs</t>
  </si>
  <si>
    <t>moy abs bon abi</t>
  </si>
  <si>
    <t>moy abs bon</t>
  </si>
  <si>
    <t>Nombre d'absence injustifié au deuxième semestre</t>
  </si>
  <si>
    <t>Nom</t>
  </si>
  <si>
    <t>Prénom</t>
  </si>
  <si>
    <t>Moyenne du bloc 1</t>
  </si>
  <si>
    <t>Moyenne du bloc 2</t>
  </si>
  <si>
    <t>Moyenne du bloc 3</t>
  </si>
  <si>
    <t>trimestre 2</t>
  </si>
  <si>
    <t>trimestre 1</t>
  </si>
  <si>
    <t>Billaud</t>
  </si>
  <si>
    <t>Nolan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</si>
</sst>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i/>
      <sz val="9"/>
      <color rgb="FF000000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EB977D"/>
        <bgColor indexed="64"/>
      </patternFill>
    </fill>
    <fill>
      <patternFill patternType="solid">
        <fgColor rgb="FFFFBE60"/>
        <bgColor indexed="64"/>
      </patternFill>
    </fill>
    <fill>
      <patternFill patternType="solid">
        <fgColor rgb="FFFEDA69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3" xfId="0" applyBorder="1"/>
    <xf numFmtId="0" fontId="2" fillId="3" borderId="4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4" borderId="4" xfId="0" applyFont="1" applyFill="1" applyBorder="1" applyAlignment="1">
      <alignment vertical="center" wrapText="1"/>
    </xf>
    <xf numFmtId="0" fontId="2" fillId="5" borderId="4" xfId="0" applyFont="1" applyFill="1" applyBorder="1" applyAlignment="1">
      <alignment vertical="center" wrapText="1"/>
    </xf>
    <xf numFmtId="0" fontId="0" fillId="0" borderId="5" xfId="0" applyBorder="1"/>
    <xf numFmtId="0" fontId="0" fillId="0" borderId="5" xfId="0" applyBorder="1" applyAlignment="1">
      <alignment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vertical="center" wrapText="1"/>
    </xf>
    <xf numFmtId="0" fontId="2" fillId="5" borderId="5" xfId="0" applyFont="1" applyFill="1" applyBorder="1" applyAlignment="1">
      <alignment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2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/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1" fillId="0" borderId="5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6" borderId="0" xfId="0" applyFill="1" applyBorder="1"/>
    <xf numFmtId="0" fontId="5" fillId="0" borderId="0" xfId="0" applyFont="1"/>
    <xf numFmtId="2" fontId="5" fillId="0" borderId="0" xfId="0" applyNumberFormat="1" applyFont="1"/>
    <xf numFmtId="2" fontId="5" fillId="0" borderId="0" xfId="0" applyNumberFormat="1" applyFont="1" applyAlignment="1">
      <alignment wrapText="1"/>
    </xf>
    <xf numFmtId="0" fontId="6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79B0E"/>
      <color rgb="FF09BB11"/>
      <color rgb="FF0A1FBA"/>
      <color rgb="FF3D53F5"/>
      <color rgb="FF2DDB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Évolution</a:t>
            </a:r>
            <a:r>
              <a:rPr lang="fr-FR" baseline="0"/>
              <a:t> des moyennes des blocs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Semestre2!$A$92</c:f>
              <c:strCache>
                <c:ptCount val="1"/>
                <c:pt idx="0">
                  <c:v>trimestre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Semestre2!$B$91:$D$91</c:f>
              <c:strCache>
                <c:ptCount val="3"/>
                <c:pt idx="0">
                  <c:v>Moyenne du bloc 1</c:v>
                </c:pt>
                <c:pt idx="1">
                  <c:v>Moyenne du bloc 2</c:v>
                </c:pt>
                <c:pt idx="2">
                  <c:v>Moyenne du bloc 3</c:v>
                </c:pt>
              </c:strCache>
            </c:strRef>
          </c:cat>
          <c:val>
            <c:numRef>
              <c:f>Semestre2!$B$92:$D$92</c:f>
              <c:numCache>
                <c:formatCode>0.00</c:formatCode>
                <c:ptCount val="3"/>
                <c:pt idx="0">
                  <c:v>8.0067500000000003</c:v>
                </c:pt>
                <c:pt idx="1">
                  <c:v>0</c:v>
                </c:pt>
                <c:pt idx="2">
                  <c:v>10.6875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4-438F-9785-C289B7DA2B24}"/>
            </c:ext>
          </c:extLst>
        </c:ser>
        <c:ser>
          <c:idx val="1"/>
          <c:order val="1"/>
          <c:tx>
            <c:strRef>
              <c:f>Semestre2!$A$93</c:f>
              <c:strCache>
                <c:ptCount val="1"/>
                <c:pt idx="0">
                  <c:v>trimestre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Semestre2!$B$91:$D$91</c:f>
              <c:strCache>
                <c:ptCount val="3"/>
                <c:pt idx="0">
                  <c:v>Moyenne du bloc 1</c:v>
                </c:pt>
                <c:pt idx="1">
                  <c:v>Moyenne du bloc 2</c:v>
                </c:pt>
                <c:pt idx="2">
                  <c:v>Moyenne du bloc 3</c:v>
                </c:pt>
              </c:strCache>
            </c:strRef>
          </c:cat>
          <c:val>
            <c:numRef>
              <c:f>Semestre2!$B$93:$D$93</c:f>
              <c:numCache>
                <c:formatCode>0.00</c:formatCode>
                <c:ptCount val="3"/>
                <c:pt idx="0">
                  <c:v>14.929166666666667</c:v>
                </c:pt>
                <c:pt idx="1">
                  <c:v>9.4416666666666664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A4-438F-9785-C289B7DA2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840864"/>
        <c:axId val="1632831264"/>
      </c:barChart>
      <c:catAx>
        <c:axId val="16328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2831264"/>
        <c:crosses val="autoZero"/>
        <c:auto val="1"/>
        <c:lblAlgn val="ctr"/>
        <c:lblOffset val="100"/>
        <c:noMultiLvlLbl val="0"/>
      </c:catAx>
      <c:valAx>
        <c:axId val="163283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284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  <cx:data id="1">
      <cx:numDim type="val">
        <cx:f>_xlchart.v1.7</cx:f>
      </cx:numDim>
    </cx:data>
    <cx:data id="2">
      <cx:numDim type="val">
        <cx:f>_xlchart.v1.10</cx:f>
      </cx:numDim>
    </cx:data>
    <cx:data id="3">
      <cx:numDim type="val">
        <cx:f>_xlchart.v1.13</cx:f>
      </cx:numDim>
    </cx:data>
    <cx:data id="4">
      <cx:numDim type="val">
        <cx:f>_xlchart.v1.15</cx:f>
      </cx:numDim>
    </cx:data>
    <cx:data id="5">
      <cx:numDim type="val">
        <cx:f>_xlchart.v1.16</cx:f>
      </cx:numDim>
    </cx:data>
    <cx:data id="6">
      <cx:numDim type="val">
        <cx:f>_xlchart.v1.17</cx:f>
      </cx:numDim>
    </cx:data>
    <cx:data id="7">
      <cx:numDim type="val">
        <cx:f>_xlchart.v1.18</cx:f>
      </cx:numDim>
    </cx:data>
    <cx:data id="8">
      <cx:numDim type="val">
        <cx:f>_xlchart.v1.19</cx:f>
      </cx:numDim>
    </cx:data>
    <cx:data id="9">
      <cx:numDim type="val">
        <cx:f>_xlchart.v1.20</cx:f>
      </cx:numDim>
    </cx:data>
    <cx:data id="10">
      <cx:numDim type="val">
        <cx:f>_xlchart.v1.21</cx:f>
      </cx:numDim>
    </cx:data>
    <cx:data id="11">
      <cx:numDim type="val">
        <cx:f>_xlchart.v1.22</cx:f>
      </cx:numDim>
    </cx:data>
    <cx:data id="12">
      <cx:numDim type="val">
        <cx:f>_xlchart.v1.23</cx:f>
      </cx:numDim>
    </cx:data>
    <cx:data id="13">
      <cx:numDim type="val">
        <cx:f>_xlchart.v1.24</cx:f>
      </cx:numDim>
    </cx:data>
    <cx:data id="14">
      <cx:numDim type="val">
        <cx:f>_xlchart.v1.25</cx:f>
      </cx:numDim>
    </cx:data>
    <cx:data id="15">
      <cx:numDim type="val">
        <cx:f>_xlchart.v1.26</cx:f>
      </cx:numDim>
    </cx:data>
    <cx:data id="16">
      <cx:numDim type="val">
        <cx:f>_xlchart.v1.27</cx:f>
      </cx:numDim>
    </cx:data>
    <cx:data id="17">
      <cx:numDim type="val">
        <cx:f>_xlchart.v1.28</cx:f>
      </cx:numDim>
    </cx:data>
    <cx:data id="18">
      <cx:numDim type="val">
        <cx:f>_xlchart.v1.29</cx:f>
      </cx:numDim>
    </cx:data>
    <cx:data id="19">
      <cx:numDim type="val">
        <cx:f>_xlchart.v1.0</cx:f>
      </cx:numDim>
    </cx:data>
    <cx:data id="20">
      <cx:numDim type="val">
        <cx:f>_xlchart.v1.1</cx:f>
      </cx:numDim>
    </cx:data>
    <cx:data id="21">
      <cx:numDim type="val">
        <cx:f>_xlchart.v1.2</cx:f>
      </cx:numDim>
    </cx:data>
  </cx:chartData>
  <cx:chart>
    <cx:title pos="t" align="ctr" overlay="0">
      <cx:tx>
        <cx:txData>
          <cx:v>Histogramme de la distribution des notes au premier semestres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Histogramme de la distribution des notes au premier semestres</a:t>
          </a:r>
        </a:p>
      </cx:txPr>
    </cx:title>
    <cx:plotArea>
      <cx:plotAreaRegion>
        <cx:series layoutId="clusteredColumn" uniqueId="{038400BC-DB69-4F7B-BCD0-8670916ACA11}" formatIdx="0">
          <cx:dataId val="0"/>
          <cx:layoutPr>
            <cx:binning intervalClosed="r">
              <cx:binSize val="5"/>
            </cx:binning>
          </cx:layoutPr>
        </cx:series>
        <cx:series layoutId="clusteredColumn" hidden="1" uniqueId="{0DF9B890-3950-487C-A39C-CC9EE5D75825}" formatIdx="1">
          <cx:dataId val="1"/>
          <cx:layoutPr>
            <cx:binning intervalClosed="r"/>
          </cx:layoutPr>
        </cx:series>
        <cx:series layoutId="clusteredColumn" hidden="1" uniqueId="{ED4AAABC-F441-40BA-8E65-602836C5E6DA}" formatIdx="2">
          <cx:dataId val="2"/>
          <cx:layoutPr>
            <cx:binning intervalClosed="r"/>
          </cx:layoutPr>
        </cx:series>
        <cx:series layoutId="clusteredColumn" hidden="1" uniqueId="{A9E35A0F-BBE3-489E-A2E5-879C5EEA438B}" formatIdx="3">
          <cx:dataId val="3"/>
          <cx:layoutPr>
            <cx:binning intervalClosed="r"/>
          </cx:layoutPr>
        </cx:series>
        <cx:series layoutId="clusteredColumn" hidden="1" uniqueId="{52B81F18-EA27-4073-897F-CFB7FA32D2FA}" formatIdx="4">
          <cx:dataId val="4"/>
          <cx:layoutPr>
            <cx:binning intervalClosed="r"/>
          </cx:layoutPr>
        </cx:series>
        <cx:series layoutId="clusteredColumn" hidden="1" uniqueId="{7EDFE11E-8014-486C-9365-83F1FEC9C3C0}" formatIdx="5">
          <cx:dataId val="5"/>
          <cx:layoutPr>
            <cx:binning intervalClosed="r"/>
          </cx:layoutPr>
        </cx:series>
        <cx:series layoutId="clusteredColumn" hidden="1" uniqueId="{3D9D1886-3674-4AC5-B710-29B04C817205}" formatIdx="6">
          <cx:dataId val="6"/>
          <cx:layoutPr>
            <cx:binning intervalClosed="r"/>
          </cx:layoutPr>
        </cx:series>
        <cx:series layoutId="clusteredColumn" hidden="1" uniqueId="{310A5A21-3CAC-4E14-AC2A-E638CA37BF3A}" formatIdx="7">
          <cx:dataId val="7"/>
          <cx:layoutPr>
            <cx:binning intervalClosed="r"/>
          </cx:layoutPr>
        </cx:series>
        <cx:series layoutId="clusteredColumn" hidden="1" uniqueId="{527B91E9-F069-47E6-AED0-27FC3F682C39}" formatIdx="8">
          <cx:dataId val="8"/>
          <cx:layoutPr>
            <cx:binning intervalClosed="r"/>
          </cx:layoutPr>
        </cx:series>
        <cx:series layoutId="clusteredColumn" hidden="1" uniqueId="{BBA5BCBF-2EFD-40DF-A429-CB6A0527ABC4}" formatIdx="9">
          <cx:dataId val="9"/>
          <cx:layoutPr>
            <cx:binning intervalClosed="r"/>
          </cx:layoutPr>
        </cx:series>
        <cx:series layoutId="clusteredColumn" hidden="1" uniqueId="{CFBB7B17-92FC-4C24-A083-FACF206E3DF5}" formatIdx="10">
          <cx:dataId val="10"/>
          <cx:layoutPr>
            <cx:binning intervalClosed="r"/>
          </cx:layoutPr>
        </cx:series>
        <cx:series layoutId="clusteredColumn" hidden="1" uniqueId="{D4398408-7C1B-4A34-A2A9-B2165418169C}" formatIdx="11">
          <cx:dataId val="11"/>
          <cx:layoutPr>
            <cx:binning intervalClosed="r"/>
          </cx:layoutPr>
        </cx:series>
        <cx:series layoutId="clusteredColumn" hidden="1" uniqueId="{00CFF01A-7C63-4313-96E4-AFFDECB1EF02}" formatIdx="12">
          <cx:dataId val="12"/>
          <cx:layoutPr>
            <cx:binning intervalClosed="r"/>
          </cx:layoutPr>
        </cx:series>
        <cx:series layoutId="clusteredColumn" hidden="1" uniqueId="{D169594B-0EE4-4EAC-95E5-7E360A2D87A6}" formatIdx="13">
          <cx:dataId val="13"/>
          <cx:layoutPr>
            <cx:binning intervalClosed="r"/>
          </cx:layoutPr>
        </cx:series>
        <cx:series layoutId="clusteredColumn" hidden="1" uniqueId="{A41868E5-2D7F-4AB2-A076-7D790726B6F5}" formatIdx="14">
          <cx:dataId val="14"/>
          <cx:layoutPr>
            <cx:binning intervalClosed="r"/>
          </cx:layoutPr>
        </cx:series>
        <cx:series layoutId="clusteredColumn" hidden="1" uniqueId="{8742AA2A-5BC0-4088-9AFF-5F20454A1F35}" formatIdx="15">
          <cx:dataId val="15"/>
          <cx:layoutPr>
            <cx:binning intervalClosed="r"/>
          </cx:layoutPr>
        </cx:series>
        <cx:series layoutId="clusteredColumn" hidden="1" uniqueId="{7BA500F1-62C1-48F1-8813-C44743B8FDC8}" formatIdx="16">
          <cx:dataId val="16"/>
          <cx:layoutPr>
            <cx:binning intervalClosed="r"/>
          </cx:layoutPr>
        </cx:series>
        <cx:series layoutId="clusteredColumn" hidden="1" uniqueId="{ABADC921-359D-46D8-8878-F7C25741A668}" formatIdx="17">
          <cx:dataId val="17"/>
          <cx:layoutPr>
            <cx:binning intervalClosed="r"/>
          </cx:layoutPr>
        </cx:series>
        <cx:series layoutId="clusteredColumn" hidden="1" uniqueId="{C746650E-4807-4C2B-AAF0-695F781F6EB7}" formatIdx="18">
          <cx:dataId val="18"/>
          <cx:layoutPr>
            <cx:binning intervalClosed="r"/>
          </cx:layoutPr>
        </cx:series>
        <cx:series layoutId="clusteredColumn" hidden="1" uniqueId="{C66AD7FC-08C9-4508-A906-B007A24C2C4E}" formatIdx="19">
          <cx:dataId val="19"/>
          <cx:layoutPr>
            <cx:binning intervalClosed="r"/>
          </cx:layoutPr>
        </cx:series>
        <cx:series layoutId="clusteredColumn" hidden="1" uniqueId="{BB610D7C-85BE-4271-8C92-47855A04C986}" formatIdx="20">
          <cx:dataId val="20"/>
          <cx:layoutPr>
            <cx:binning intervalClosed="r"/>
          </cx:layoutPr>
        </cx:series>
        <cx:series layoutId="clusteredColumn" hidden="1" uniqueId="{366D0F5A-DA52-4825-B208-45977687E133}" formatIdx="21">
          <cx:dataId val="21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solidFill>
        <a:schemeClr val="accent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_xlchart.v1.31</cx:f>
      </cx:numDim>
    </cx:data>
    <cx:data id="1">
      <cx:numDim type="val">
        <cx:f>_xlchart.v1.34</cx:f>
      </cx:numDim>
    </cx:data>
    <cx:data id="2">
      <cx:numDim type="val">
        <cx:f>_xlchart.v1.37</cx:f>
      </cx:numDim>
    </cx:data>
    <cx:data id="3">
      <cx:numDim type="val">
        <cx:f>_xlchart.v1.40</cx:f>
      </cx:numDim>
    </cx:data>
    <cx:data id="4">
      <cx:numDim type="val">
        <cx:f>_xlchart.v1.42</cx:f>
      </cx:numDim>
    </cx:data>
    <cx:data id="5">
      <cx:numDim type="val">
        <cx:f>_xlchart.v1.43</cx:f>
      </cx:numDim>
    </cx:data>
    <cx:data id="6">
      <cx:numDim type="val">
        <cx:f>_xlchart.v1.44</cx:f>
      </cx:numDim>
    </cx:data>
    <cx:data id="7">
      <cx:numDim type="val">
        <cx:f>_xlchart.v1.45</cx:f>
      </cx:numDim>
    </cx:data>
    <cx:data id="8">
      <cx:numDim type="val">
        <cx:f>_xlchart.v1.46</cx:f>
      </cx:numDim>
    </cx:data>
    <cx:data id="9">
      <cx:numDim type="val">
        <cx:f>_xlchart.v1.47</cx:f>
      </cx:numDim>
    </cx:data>
    <cx:data id="10">
      <cx:numDim type="val">
        <cx:f>_xlchart.v1.48</cx:f>
      </cx:numDim>
    </cx:data>
    <cx:data id="11">
      <cx:numDim type="val">
        <cx:f>_xlchart.v1.49</cx:f>
      </cx:numDim>
    </cx:data>
    <cx:data id="12">
      <cx:numDim type="val">
        <cx:f>_xlchart.v1.50</cx:f>
      </cx:numDim>
    </cx:data>
    <cx:data id="13">
      <cx:numDim type="val">
        <cx:f>_xlchart.v1.51</cx:f>
      </cx:numDim>
    </cx:data>
    <cx:data id="14">
      <cx:numDim type="val">
        <cx:f>_xlchart.v1.52</cx:f>
      </cx:numDim>
    </cx:data>
    <cx:data id="15">
      <cx:numDim type="val">
        <cx:f>_xlchart.v1.53</cx:f>
      </cx:numDim>
    </cx:data>
    <cx:data id="16">
      <cx:numDim type="val">
        <cx:f>_xlchart.v1.54</cx:f>
      </cx:numDim>
    </cx:data>
    <cx:data id="17">
      <cx:numDim type="val">
        <cx:f>_xlchart.v1.55</cx:f>
      </cx:numDim>
    </cx:data>
    <cx:data id="18">
      <cx:numDim type="val">
        <cx:f>_xlchart.v1.56</cx:f>
      </cx:numDim>
    </cx:data>
  </cx:chartData>
  <cx:chart>
    <cx:title pos="t" align="ctr" overlay="0">
      <cx:tx>
        <cx:txData>
          <cx:v>Histogramme de la distribution des notes au deuxième semestres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Histogramme de la distribution des notes au deuxième semestres</a:t>
          </a:r>
        </a:p>
      </cx:txPr>
    </cx:title>
    <cx:plotArea>
      <cx:plotAreaRegion>
        <cx:series layoutId="clusteredColumn" uniqueId="{7C27671B-114B-4682-B6C8-DEE892B74E7C}" formatIdx="0">
          <cx:dataId val="0"/>
          <cx:layoutPr>
            <cx:binning intervalClosed="r">
              <cx:binSize val="5"/>
            </cx:binning>
          </cx:layoutPr>
        </cx:series>
        <cx:series layoutId="clusteredColumn" hidden="1" uniqueId="{C78EE296-4D99-4EA3-A590-4C1F15A21653}" formatIdx="1">
          <cx:dataId val="1"/>
          <cx:layoutPr>
            <cx:binning intervalClosed="r"/>
          </cx:layoutPr>
        </cx:series>
        <cx:series layoutId="clusteredColumn" hidden="1" uniqueId="{1376B13C-4355-4BEC-9C1F-89D293DC6AD0}" formatIdx="2">
          <cx:dataId val="2"/>
          <cx:layoutPr>
            <cx:binning intervalClosed="r"/>
          </cx:layoutPr>
        </cx:series>
        <cx:series layoutId="clusteredColumn" hidden="1" uniqueId="{66332A0E-F19F-4125-A558-0183D3EC7B5F}" formatIdx="3">
          <cx:dataId val="3"/>
          <cx:layoutPr>
            <cx:binning intervalClosed="r"/>
          </cx:layoutPr>
        </cx:series>
        <cx:series layoutId="clusteredColumn" hidden="1" uniqueId="{6D288D80-3C81-4333-9DDF-7C4C2972D6F5}" formatIdx="4">
          <cx:dataId val="4"/>
          <cx:layoutPr>
            <cx:binning intervalClosed="r"/>
          </cx:layoutPr>
        </cx:series>
        <cx:series layoutId="clusteredColumn" hidden="1" uniqueId="{D072D66A-F607-4852-9EB2-8C7E7D6DAF5A}" formatIdx="5">
          <cx:dataId val="5"/>
          <cx:layoutPr>
            <cx:binning intervalClosed="r"/>
          </cx:layoutPr>
        </cx:series>
        <cx:series layoutId="clusteredColumn" hidden="1" uniqueId="{F6B00A2B-3BF7-4A7B-A2C1-1DAD9E928F3B}" formatIdx="6">
          <cx:dataId val="6"/>
          <cx:layoutPr>
            <cx:binning intervalClosed="r"/>
          </cx:layoutPr>
        </cx:series>
        <cx:series layoutId="clusteredColumn" hidden="1" uniqueId="{03BACEC1-F21E-49CD-9BA3-5BFFF0F873AB}" formatIdx="7">
          <cx:dataId val="7"/>
          <cx:layoutPr>
            <cx:binning intervalClosed="r"/>
          </cx:layoutPr>
        </cx:series>
        <cx:series layoutId="clusteredColumn" hidden="1" uniqueId="{FA310AAA-0BB7-4714-9FD9-6E4AF71EC468}" formatIdx="8">
          <cx:dataId val="8"/>
          <cx:layoutPr>
            <cx:binning intervalClosed="r"/>
          </cx:layoutPr>
        </cx:series>
        <cx:series layoutId="clusteredColumn" hidden="1" uniqueId="{7F26E62A-9F43-40CD-811D-FEE65B540ED5}" formatIdx="9">
          <cx:dataId val="9"/>
          <cx:layoutPr>
            <cx:binning intervalClosed="r"/>
          </cx:layoutPr>
        </cx:series>
        <cx:series layoutId="clusteredColumn" hidden="1" uniqueId="{E37C2305-F523-4EE7-9F39-5834168D7DC9}" formatIdx="10">
          <cx:dataId val="10"/>
          <cx:layoutPr>
            <cx:binning intervalClosed="r"/>
          </cx:layoutPr>
        </cx:series>
        <cx:series layoutId="clusteredColumn" hidden="1" uniqueId="{6CD7CD48-9609-48A4-8C54-439832CD6D05}" formatIdx="11">
          <cx:dataId val="11"/>
          <cx:layoutPr>
            <cx:binning intervalClosed="r"/>
          </cx:layoutPr>
        </cx:series>
        <cx:series layoutId="clusteredColumn" hidden="1" uniqueId="{D66931F4-1CD2-4324-AF3F-7F365C0BD7DA}" formatIdx="12">
          <cx:dataId val="12"/>
          <cx:layoutPr>
            <cx:binning intervalClosed="r"/>
          </cx:layoutPr>
        </cx:series>
        <cx:series layoutId="clusteredColumn" hidden="1" uniqueId="{1F1F918C-D123-4C24-A675-316D4EC9EEB5}" formatIdx="13">
          <cx:dataId val="13"/>
          <cx:layoutPr>
            <cx:binning intervalClosed="r"/>
          </cx:layoutPr>
        </cx:series>
        <cx:series layoutId="clusteredColumn" hidden="1" uniqueId="{ECF9F14B-1B05-407E-A431-2342547BCCA9}" formatIdx="14">
          <cx:dataId val="14"/>
          <cx:layoutPr>
            <cx:binning intervalClosed="r"/>
          </cx:layoutPr>
        </cx:series>
        <cx:series layoutId="clusteredColumn" hidden="1" uniqueId="{D0401DB2-F8CB-4931-AC97-42063E7B020C}" formatIdx="15">
          <cx:dataId val="15"/>
          <cx:layoutPr>
            <cx:binning intervalClosed="r"/>
          </cx:layoutPr>
        </cx:series>
        <cx:series layoutId="clusteredColumn" hidden="1" uniqueId="{119ACE6B-C5B8-47ED-A3E6-50890AA81B66}" formatIdx="16">
          <cx:dataId val="16"/>
          <cx:layoutPr>
            <cx:binning intervalClosed="r"/>
          </cx:layoutPr>
        </cx:series>
        <cx:series layoutId="clusteredColumn" hidden="1" uniqueId="{595F7C0F-A38B-4D21-8871-FC5FBC2937D5}" formatIdx="17">
          <cx:dataId val="17"/>
          <cx:layoutPr>
            <cx:binning intervalClosed="r"/>
          </cx:layoutPr>
        </cx:series>
        <cx:series layoutId="clusteredColumn" hidden="1" uniqueId="{97DB4D46-7CDB-48CB-8B52-A7E8699CE5FA}" formatIdx="18">
          <cx:dataId val="18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solidFill>
        <a:schemeClr val="accent1">
          <a:alpha val="9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95138</xdr:rowOff>
    </xdr:from>
    <xdr:to>
      <xdr:col>17</xdr:col>
      <xdr:colOff>735330</xdr:colOff>
      <xdr:row>46</xdr:row>
      <xdr:rowOff>165735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DA73B5B-666B-47FB-B996-F48A98853635}"/>
            </a:ext>
          </a:extLst>
        </xdr:cNvPr>
        <xdr:cNvSpPr/>
      </xdr:nvSpPr>
      <xdr:spPr>
        <a:xfrm>
          <a:off x="68580" y="95138"/>
          <a:ext cx="14009370" cy="8483077"/>
        </a:xfrm>
        <a:prstGeom prst="roundRect">
          <a:avLst>
            <a:gd name="adj" fmla="val 7576"/>
          </a:avLst>
        </a:prstGeom>
        <a:solidFill>
          <a:srgbClr val="079B0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143436</xdr:colOff>
      <xdr:row>5</xdr:row>
      <xdr:rowOff>125505</xdr:rowOff>
    </xdr:from>
    <xdr:to>
      <xdr:col>4</xdr:col>
      <xdr:colOff>555812</xdr:colOff>
      <xdr:row>18</xdr:row>
      <xdr:rowOff>170330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420D5EC2-A126-2DC5-1362-1A0D509038B2}"/>
            </a:ext>
          </a:extLst>
        </xdr:cNvPr>
        <xdr:cNvSpPr/>
      </xdr:nvSpPr>
      <xdr:spPr>
        <a:xfrm>
          <a:off x="1721224" y="1021976"/>
          <a:ext cx="1990164" cy="23756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7</xdr:row>
          <xdr:rowOff>121920</xdr:rowOff>
        </xdr:from>
        <xdr:to>
          <xdr:col>4</xdr:col>
          <xdr:colOff>297180</xdr:colOff>
          <xdr:row>11</xdr:row>
          <xdr:rowOff>182880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13</xdr:row>
          <xdr:rowOff>7620</xdr:rowOff>
        </xdr:from>
        <xdr:to>
          <xdr:col>4</xdr:col>
          <xdr:colOff>289560</xdr:colOff>
          <xdr:row>17</xdr:row>
          <xdr:rowOff>7620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378759</xdr:colOff>
      <xdr:row>12</xdr:row>
      <xdr:rowOff>151839</xdr:rowOff>
    </xdr:from>
    <xdr:to>
      <xdr:col>12</xdr:col>
      <xdr:colOff>81803</xdr:colOff>
      <xdr:row>15</xdr:row>
      <xdr:rowOff>6722</xdr:rowOff>
    </xdr:to>
    <xdr:sp macro="" textlink="Semestre1!B25">
      <xdr:nvSpPr>
        <xdr:cNvPr id="2" name="ZoneTexte 1">
          <a:extLst>
            <a:ext uri="{FF2B5EF4-FFF2-40B4-BE49-F238E27FC236}">
              <a16:creationId xmlns:a16="http://schemas.microsoft.com/office/drawing/2014/main" id="{2FB9B413-C562-7D6B-39F6-2E62020AE576}"/>
            </a:ext>
          </a:extLst>
        </xdr:cNvPr>
        <xdr:cNvSpPr txBox="1"/>
      </xdr:nvSpPr>
      <xdr:spPr>
        <a:xfrm>
          <a:off x="8970309" y="2323539"/>
          <a:ext cx="484094" cy="3978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26B95F-0C13-4FBA-A9F4-239D132B8EF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4</a:t>
          </a:fld>
          <a:endParaRPr lang="en-US" sz="1600"/>
        </a:p>
      </xdr:txBody>
    </xdr:sp>
    <xdr:clientData/>
  </xdr:twoCellAnchor>
  <xdr:twoCellAnchor>
    <xdr:from>
      <xdr:col>5</xdr:col>
      <xdr:colOff>577102</xdr:colOff>
      <xdr:row>12</xdr:row>
      <xdr:rowOff>170330</xdr:rowOff>
    </xdr:from>
    <xdr:to>
      <xdr:col>11</xdr:col>
      <xdr:colOff>266700</xdr:colOff>
      <xdr:row>14</xdr:row>
      <xdr:rowOff>179294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AE78A9A1-6014-4278-2DD4-2A06775F0C14}"/>
            </a:ext>
          </a:extLst>
        </xdr:cNvPr>
        <xdr:cNvSpPr txBox="1"/>
      </xdr:nvSpPr>
      <xdr:spPr>
        <a:xfrm>
          <a:off x="4482352" y="2342030"/>
          <a:ext cx="4375898" cy="37091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au</a:t>
          </a:r>
          <a:r>
            <a:rPr lang="fr-FR" sz="1600" baseline="0"/>
            <a:t> premier semestre :</a:t>
          </a:r>
          <a:endParaRPr lang="fr-FR" sz="1600"/>
        </a:p>
      </xdr:txBody>
    </xdr:sp>
    <xdr:clientData/>
  </xdr:twoCellAnchor>
  <xdr:twoCellAnchor>
    <xdr:from>
      <xdr:col>5</xdr:col>
      <xdr:colOff>404533</xdr:colOff>
      <xdr:row>15</xdr:row>
      <xdr:rowOff>123264</xdr:rowOff>
    </xdr:from>
    <xdr:to>
      <xdr:col>11</xdr:col>
      <xdr:colOff>266700</xdr:colOff>
      <xdr:row>17</xdr:row>
      <xdr:rowOff>132229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BCBA874C-3677-4CA3-803E-0A795BAC70D7}"/>
            </a:ext>
          </a:extLst>
        </xdr:cNvPr>
        <xdr:cNvSpPr txBox="1"/>
      </xdr:nvSpPr>
      <xdr:spPr>
        <a:xfrm>
          <a:off x="4309783" y="2837889"/>
          <a:ext cx="4548467" cy="37091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au</a:t>
          </a:r>
          <a:r>
            <a:rPr lang="fr-FR" sz="1600" baseline="0"/>
            <a:t> deuxieme semestre :</a:t>
          </a:r>
          <a:endParaRPr lang="fr-FR" sz="1600"/>
        </a:p>
      </xdr:txBody>
    </xdr:sp>
    <xdr:clientData/>
  </xdr:twoCellAnchor>
  <xdr:twoCellAnchor>
    <xdr:from>
      <xdr:col>11</xdr:col>
      <xdr:colOff>387163</xdr:colOff>
      <xdr:row>15</xdr:row>
      <xdr:rowOff>133350</xdr:rowOff>
    </xdr:from>
    <xdr:to>
      <xdr:col>12</xdr:col>
      <xdr:colOff>63314</xdr:colOff>
      <xdr:row>17</xdr:row>
      <xdr:rowOff>151280</xdr:rowOff>
    </xdr:to>
    <xdr:sp macro="" textlink="Semestre2!B34">
      <xdr:nvSpPr>
        <xdr:cNvPr id="9" name="ZoneTexte 8">
          <a:extLst>
            <a:ext uri="{FF2B5EF4-FFF2-40B4-BE49-F238E27FC236}">
              <a16:creationId xmlns:a16="http://schemas.microsoft.com/office/drawing/2014/main" id="{BA2C1C2B-00E9-4438-902F-476B4059CA2B}"/>
            </a:ext>
          </a:extLst>
        </xdr:cNvPr>
        <xdr:cNvSpPr txBox="1"/>
      </xdr:nvSpPr>
      <xdr:spPr>
        <a:xfrm>
          <a:off x="8978713" y="2847975"/>
          <a:ext cx="457201" cy="379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83BAC7-F8B6-4AD6-A9A5-DE04D5317CB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3</a:t>
          </a:fld>
          <a:endParaRPr lang="en-US" sz="1600"/>
        </a:p>
      </xdr:txBody>
    </xdr:sp>
    <xdr:clientData/>
  </xdr:twoCellAnchor>
  <xdr:twoCellAnchor>
    <xdr:from>
      <xdr:col>11</xdr:col>
      <xdr:colOff>386603</xdr:colOff>
      <xdr:row>18</xdr:row>
      <xdr:rowOff>96371</xdr:rowOff>
    </xdr:from>
    <xdr:to>
      <xdr:col>12</xdr:col>
      <xdr:colOff>62753</xdr:colOff>
      <xdr:row>20</xdr:row>
      <xdr:rowOff>105336</xdr:rowOff>
    </xdr:to>
    <xdr:sp macro="" textlink="Semestre2!B35">
      <xdr:nvSpPr>
        <xdr:cNvPr id="10" name="ZoneTexte 9">
          <a:extLst>
            <a:ext uri="{FF2B5EF4-FFF2-40B4-BE49-F238E27FC236}">
              <a16:creationId xmlns:a16="http://schemas.microsoft.com/office/drawing/2014/main" id="{D8A04BD9-BE2C-4DC3-B0F1-4CDA351126F7}"/>
            </a:ext>
          </a:extLst>
        </xdr:cNvPr>
        <xdr:cNvSpPr txBox="1"/>
      </xdr:nvSpPr>
      <xdr:spPr>
        <a:xfrm>
          <a:off x="8978153" y="3353921"/>
          <a:ext cx="457200" cy="370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BFF201-0467-460F-8C39-A048D085CFE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7</a:t>
          </a:fld>
          <a:endParaRPr lang="en-US" sz="1600"/>
        </a:p>
      </xdr:txBody>
    </xdr:sp>
    <xdr:clientData/>
  </xdr:twoCellAnchor>
  <xdr:twoCellAnchor>
    <xdr:from>
      <xdr:col>7</xdr:col>
      <xdr:colOff>308722</xdr:colOff>
      <xdr:row>18</xdr:row>
      <xdr:rowOff>76201</xdr:rowOff>
    </xdr:from>
    <xdr:to>
      <xdr:col>11</xdr:col>
      <xdr:colOff>263899</xdr:colOff>
      <xdr:row>20</xdr:row>
      <xdr:rowOff>85166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0EEF7AA-2DB2-489E-9397-9DEAF82F2C1A}"/>
            </a:ext>
          </a:extLst>
        </xdr:cNvPr>
        <xdr:cNvSpPr txBox="1"/>
      </xdr:nvSpPr>
      <xdr:spPr>
        <a:xfrm>
          <a:off x="5776072" y="3333751"/>
          <a:ext cx="3079377" cy="37091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total :</a:t>
          </a:r>
        </a:p>
      </xdr:txBody>
    </xdr:sp>
    <xdr:clientData/>
  </xdr:twoCellAnchor>
  <xdr:twoCellAnchor>
    <xdr:from>
      <xdr:col>3</xdr:col>
      <xdr:colOff>7621</xdr:colOff>
      <xdr:row>24</xdr:row>
      <xdr:rowOff>129296</xdr:rowOff>
    </xdr:from>
    <xdr:to>
      <xdr:col>8</xdr:col>
      <xdr:colOff>160021</xdr:colOff>
      <xdr:row>26</xdr:row>
      <xdr:rowOff>87733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5D520A4B-C208-5FED-D9DB-078D9735A27E}"/>
            </a:ext>
          </a:extLst>
        </xdr:cNvPr>
        <xdr:cNvSpPr txBox="1"/>
      </xdr:nvSpPr>
      <xdr:spPr>
        <a:xfrm>
          <a:off x="2362201" y="4518416"/>
          <a:ext cx="407670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avec</a:t>
          </a:r>
          <a:r>
            <a:rPr lang="fr-FR" sz="1100" baseline="0"/>
            <a:t> absence et bonifiant</a:t>
          </a:r>
          <a:r>
            <a:rPr lang="fr-FR" sz="1100"/>
            <a:t> du bloc 1 au premier semestre :</a:t>
          </a:r>
        </a:p>
      </xdr:txBody>
    </xdr:sp>
    <xdr:clientData/>
  </xdr:twoCellAnchor>
  <xdr:twoCellAnchor>
    <xdr:from>
      <xdr:col>3</xdr:col>
      <xdr:colOff>7621</xdr:colOff>
      <xdr:row>26</xdr:row>
      <xdr:rowOff>162466</xdr:rowOff>
    </xdr:from>
    <xdr:to>
      <xdr:col>8</xdr:col>
      <xdr:colOff>160021</xdr:colOff>
      <xdr:row>28</xdr:row>
      <xdr:rowOff>120903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8DF8BBD2-4FC5-4AF4-942C-D6FC1F1B1E1F}"/>
            </a:ext>
          </a:extLst>
        </xdr:cNvPr>
        <xdr:cNvSpPr txBox="1"/>
      </xdr:nvSpPr>
      <xdr:spPr>
        <a:xfrm>
          <a:off x="2362201" y="4917346"/>
          <a:ext cx="407670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2 au premier semestre :</a:t>
          </a:r>
        </a:p>
      </xdr:txBody>
    </xdr:sp>
    <xdr:clientData/>
  </xdr:twoCellAnchor>
  <xdr:twoCellAnchor>
    <xdr:from>
      <xdr:col>3</xdr:col>
      <xdr:colOff>15241</xdr:colOff>
      <xdr:row>29</xdr:row>
      <xdr:rowOff>43237</xdr:rowOff>
    </xdr:from>
    <xdr:to>
      <xdr:col>8</xdr:col>
      <xdr:colOff>175260</xdr:colOff>
      <xdr:row>30</xdr:row>
      <xdr:rowOff>180967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C7B3216-AA7F-401E-BB93-1246AC2D8267}"/>
            </a:ext>
          </a:extLst>
        </xdr:cNvPr>
        <xdr:cNvSpPr txBox="1"/>
      </xdr:nvSpPr>
      <xdr:spPr>
        <a:xfrm>
          <a:off x="2369821" y="5346757"/>
          <a:ext cx="4084319" cy="3206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3 au premier semestre :</a:t>
          </a:r>
        </a:p>
      </xdr:txBody>
    </xdr:sp>
    <xdr:clientData/>
  </xdr:twoCellAnchor>
  <xdr:twoCellAnchor>
    <xdr:from>
      <xdr:col>8</xdr:col>
      <xdr:colOff>289561</xdr:colOff>
      <xdr:row>24</xdr:row>
      <xdr:rowOff>125507</xdr:rowOff>
    </xdr:from>
    <xdr:to>
      <xdr:col>10</xdr:col>
      <xdr:colOff>76201</xdr:colOff>
      <xdr:row>26</xdr:row>
      <xdr:rowOff>83944</xdr:rowOff>
    </xdr:to>
    <xdr:sp macro="" textlink="Semestre1!H34">
      <xdr:nvSpPr>
        <xdr:cNvPr id="15" name="ZoneTexte 14">
          <a:extLst>
            <a:ext uri="{FF2B5EF4-FFF2-40B4-BE49-F238E27FC236}">
              <a16:creationId xmlns:a16="http://schemas.microsoft.com/office/drawing/2014/main" id="{FAE04A94-79F4-4CCF-9191-D5318C60F226}"/>
            </a:ext>
          </a:extLst>
        </xdr:cNvPr>
        <xdr:cNvSpPr txBox="1"/>
      </xdr:nvSpPr>
      <xdr:spPr>
        <a:xfrm>
          <a:off x="6568441" y="4514627"/>
          <a:ext cx="135636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9C4115-2F40-468F-8B10-29E104F3BA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8,11</a:t>
          </a:fld>
          <a:endParaRPr lang="fr-FR" sz="1100"/>
        </a:p>
      </xdr:txBody>
    </xdr:sp>
    <xdr:clientData/>
  </xdr:twoCellAnchor>
  <xdr:twoCellAnchor>
    <xdr:from>
      <xdr:col>8</xdr:col>
      <xdr:colOff>304800</xdr:colOff>
      <xdr:row>26</xdr:row>
      <xdr:rowOff>152401</xdr:rowOff>
    </xdr:from>
    <xdr:to>
      <xdr:col>10</xdr:col>
      <xdr:colOff>99060</xdr:colOff>
      <xdr:row>28</xdr:row>
      <xdr:rowOff>110838</xdr:rowOff>
    </xdr:to>
    <xdr:sp macro="" textlink="Semestre1!H35">
      <xdr:nvSpPr>
        <xdr:cNvPr id="16" name="ZoneTexte 15">
          <a:extLst>
            <a:ext uri="{FF2B5EF4-FFF2-40B4-BE49-F238E27FC236}">
              <a16:creationId xmlns:a16="http://schemas.microsoft.com/office/drawing/2014/main" id="{12276F65-EDED-4A7A-BAF5-7B4C03CF64EE}"/>
            </a:ext>
          </a:extLst>
        </xdr:cNvPr>
        <xdr:cNvSpPr txBox="1"/>
      </xdr:nvSpPr>
      <xdr:spPr>
        <a:xfrm>
          <a:off x="6583680" y="4907281"/>
          <a:ext cx="136398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AB1E53-6B68-4794-AF33-6D23F789B02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Moyenne bloquée</a:t>
          </a:fld>
          <a:endParaRPr lang="fr-FR" sz="1100"/>
        </a:p>
      </xdr:txBody>
    </xdr:sp>
    <xdr:clientData/>
  </xdr:twoCellAnchor>
  <xdr:twoCellAnchor>
    <xdr:from>
      <xdr:col>8</xdr:col>
      <xdr:colOff>289561</xdr:colOff>
      <xdr:row>29</xdr:row>
      <xdr:rowOff>35860</xdr:rowOff>
    </xdr:from>
    <xdr:to>
      <xdr:col>10</xdr:col>
      <xdr:colOff>114300</xdr:colOff>
      <xdr:row>30</xdr:row>
      <xdr:rowOff>173590</xdr:rowOff>
    </xdr:to>
    <xdr:sp macro="" textlink="Semestre1!H36">
      <xdr:nvSpPr>
        <xdr:cNvPr id="17" name="ZoneTexte 16">
          <a:extLst>
            <a:ext uri="{FF2B5EF4-FFF2-40B4-BE49-F238E27FC236}">
              <a16:creationId xmlns:a16="http://schemas.microsoft.com/office/drawing/2014/main" id="{D8B077DD-15DC-450F-982D-B0564B3F9318}"/>
            </a:ext>
          </a:extLst>
        </xdr:cNvPr>
        <xdr:cNvSpPr txBox="1"/>
      </xdr:nvSpPr>
      <xdr:spPr>
        <a:xfrm>
          <a:off x="6568441" y="5339380"/>
          <a:ext cx="1394459" cy="3206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810B295-3475-4567-BABB-92A3FB07998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10,79</a:t>
          </a:fld>
          <a:endParaRPr lang="fr-FR" sz="1100"/>
        </a:p>
      </xdr:txBody>
    </xdr:sp>
    <xdr:clientData/>
  </xdr:twoCellAnchor>
  <xdr:twoCellAnchor>
    <xdr:from>
      <xdr:col>10</xdr:col>
      <xdr:colOff>403860</xdr:colOff>
      <xdr:row>24</xdr:row>
      <xdr:rowOff>143435</xdr:rowOff>
    </xdr:from>
    <xdr:to>
      <xdr:col>15</xdr:col>
      <xdr:colOff>701039</xdr:colOff>
      <xdr:row>26</xdr:row>
      <xdr:rowOff>101872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210FD00B-F23D-4D06-8A31-18216CFC7647}"/>
            </a:ext>
          </a:extLst>
        </xdr:cNvPr>
        <xdr:cNvSpPr txBox="1"/>
      </xdr:nvSpPr>
      <xdr:spPr>
        <a:xfrm>
          <a:off x="8252460" y="4532555"/>
          <a:ext cx="4221479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1 au deuxième semestre :</a:t>
          </a:r>
        </a:p>
      </xdr:txBody>
    </xdr:sp>
    <xdr:clientData/>
  </xdr:twoCellAnchor>
  <xdr:twoCellAnchor>
    <xdr:from>
      <xdr:col>10</xdr:col>
      <xdr:colOff>419101</xdr:colOff>
      <xdr:row>27</xdr:row>
      <xdr:rowOff>8965</xdr:rowOff>
    </xdr:from>
    <xdr:to>
      <xdr:col>15</xdr:col>
      <xdr:colOff>685800</xdr:colOff>
      <xdr:row>28</xdr:row>
      <xdr:rowOff>146696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2A4EA634-0151-402E-AD4E-0752B308F8A7}"/>
            </a:ext>
          </a:extLst>
        </xdr:cNvPr>
        <xdr:cNvSpPr txBox="1"/>
      </xdr:nvSpPr>
      <xdr:spPr>
        <a:xfrm>
          <a:off x="8267701" y="4946725"/>
          <a:ext cx="4190999" cy="3206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2 au deuxième semestre :</a:t>
          </a:r>
        </a:p>
      </xdr:txBody>
    </xdr:sp>
    <xdr:clientData/>
  </xdr:twoCellAnchor>
  <xdr:twoCellAnchor>
    <xdr:from>
      <xdr:col>10</xdr:col>
      <xdr:colOff>434341</xdr:colOff>
      <xdr:row>29</xdr:row>
      <xdr:rowOff>107576</xdr:rowOff>
    </xdr:from>
    <xdr:to>
      <xdr:col>15</xdr:col>
      <xdr:colOff>701040</xdr:colOff>
      <xdr:row>31</xdr:row>
      <xdr:rowOff>66012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A9EFAAC-27FD-417F-9A1C-A4B17A7127A9}"/>
            </a:ext>
          </a:extLst>
        </xdr:cNvPr>
        <xdr:cNvSpPr txBox="1"/>
      </xdr:nvSpPr>
      <xdr:spPr>
        <a:xfrm>
          <a:off x="8282941" y="5411096"/>
          <a:ext cx="4190999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3 au deuxième semestre :</a:t>
          </a:r>
        </a:p>
      </xdr:txBody>
    </xdr:sp>
    <xdr:clientData/>
  </xdr:twoCellAnchor>
  <xdr:twoCellAnchor>
    <xdr:from>
      <xdr:col>16</xdr:col>
      <xdr:colOff>22860</xdr:colOff>
      <xdr:row>24</xdr:row>
      <xdr:rowOff>142875</xdr:rowOff>
    </xdr:from>
    <xdr:to>
      <xdr:col>17</xdr:col>
      <xdr:colOff>464820</xdr:colOff>
      <xdr:row>26</xdr:row>
      <xdr:rowOff>101312</xdr:rowOff>
    </xdr:to>
    <xdr:sp macro="" textlink="Semestre2!H38">
      <xdr:nvSpPr>
        <xdr:cNvPr id="26" name="ZoneTexte 25">
          <a:extLst>
            <a:ext uri="{FF2B5EF4-FFF2-40B4-BE49-F238E27FC236}">
              <a16:creationId xmlns:a16="http://schemas.microsoft.com/office/drawing/2014/main" id="{EAF7AAA7-A67D-4DAC-B3A8-1538754CA2F8}"/>
            </a:ext>
          </a:extLst>
        </xdr:cNvPr>
        <xdr:cNvSpPr txBox="1"/>
      </xdr:nvSpPr>
      <xdr:spPr>
        <a:xfrm>
          <a:off x="12580620" y="4531995"/>
          <a:ext cx="122682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256516-E6E8-4246-BEB8-C28067A9880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14,73</a:t>
          </a:fld>
          <a:endParaRPr lang="fr-FR" sz="1100"/>
        </a:p>
      </xdr:txBody>
    </xdr:sp>
    <xdr:clientData/>
  </xdr:twoCellAnchor>
  <xdr:twoCellAnchor>
    <xdr:from>
      <xdr:col>16</xdr:col>
      <xdr:colOff>30480</xdr:colOff>
      <xdr:row>27</xdr:row>
      <xdr:rowOff>16249</xdr:rowOff>
    </xdr:from>
    <xdr:to>
      <xdr:col>17</xdr:col>
      <xdr:colOff>472440</xdr:colOff>
      <xdr:row>28</xdr:row>
      <xdr:rowOff>155661</xdr:rowOff>
    </xdr:to>
    <xdr:sp macro="" textlink="Semestre2!H39">
      <xdr:nvSpPr>
        <xdr:cNvPr id="27" name="ZoneTexte 26">
          <a:extLst>
            <a:ext uri="{FF2B5EF4-FFF2-40B4-BE49-F238E27FC236}">
              <a16:creationId xmlns:a16="http://schemas.microsoft.com/office/drawing/2014/main" id="{20562C35-55E8-4B4D-9F5A-3FA41FDF2E06}"/>
            </a:ext>
          </a:extLst>
        </xdr:cNvPr>
        <xdr:cNvSpPr txBox="1"/>
      </xdr:nvSpPr>
      <xdr:spPr>
        <a:xfrm>
          <a:off x="12588240" y="4954009"/>
          <a:ext cx="1226820" cy="3222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9106066-258F-423C-8A39-B01A7477466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9,24</a:t>
          </a:fld>
          <a:endParaRPr lang="fr-FR" sz="1100"/>
        </a:p>
      </xdr:txBody>
    </xdr:sp>
    <xdr:clientData/>
  </xdr:twoCellAnchor>
  <xdr:twoCellAnchor>
    <xdr:from>
      <xdr:col>16</xdr:col>
      <xdr:colOff>22860</xdr:colOff>
      <xdr:row>29</xdr:row>
      <xdr:rowOff>115422</xdr:rowOff>
    </xdr:from>
    <xdr:to>
      <xdr:col>17</xdr:col>
      <xdr:colOff>495300</xdr:colOff>
      <xdr:row>31</xdr:row>
      <xdr:rowOff>73858</xdr:rowOff>
    </xdr:to>
    <xdr:sp macro="" textlink="Semestre2!H40">
      <xdr:nvSpPr>
        <xdr:cNvPr id="28" name="ZoneTexte 27">
          <a:extLst>
            <a:ext uri="{FF2B5EF4-FFF2-40B4-BE49-F238E27FC236}">
              <a16:creationId xmlns:a16="http://schemas.microsoft.com/office/drawing/2014/main" id="{44FED0B4-592C-4023-9758-42A9EF2109FF}"/>
            </a:ext>
          </a:extLst>
        </xdr:cNvPr>
        <xdr:cNvSpPr txBox="1"/>
      </xdr:nvSpPr>
      <xdr:spPr>
        <a:xfrm>
          <a:off x="12580620" y="5418942"/>
          <a:ext cx="125730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5D2F207-1535-4D30-BCAA-F5CFE15B302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Moyenne bloquée</a:t>
          </a:fld>
          <a:endParaRPr lang="fr-FR" sz="1100"/>
        </a:p>
      </xdr:txBody>
    </xdr:sp>
    <xdr:clientData/>
  </xdr:twoCellAnchor>
  <xdr:twoCellAnchor>
    <xdr:from>
      <xdr:col>4</xdr:col>
      <xdr:colOff>510540</xdr:colOff>
      <xdr:row>41</xdr:row>
      <xdr:rowOff>14286</xdr:rowOff>
    </xdr:from>
    <xdr:to>
      <xdr:col>13</xdr:col>
      <xdr:colOff>306705</xdr:colOff>
      <xdr:row>44</xdr:row>
      <xdr:rowOff>171450</xdr:rowOff>
    </xdr:to>
    <xdr:sp macro="" textlink="Semestre2!J53">
      <xdr:nvSpPr>
        <xdr:cNvPr id="29" name="ZoneTexte 28">
          <a:extLst>
            <a:ext uri="{FF2B5EF4-FFF2-40B4-BE49-F238E27FC236}">
              <a16:creationId xmlns:a16="http://schemas.microsoft.com/office/drawing/2014/main" id="{7AF1B85A-0709-11AA-3089-0E0FB83390CD}"/>
            </a:ext>
          </a:extLst>
        </xdr:cNvPr>
        <xdr:cNvSpPr txBox="1"/>
      </xdr:nvSpPr>
      <xdr:spPr>
        <a:xfrm>
          <a:off x="3649980" y="7512366"/>
          <a:ext cx="6859905" cy="705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3F9DC-A9C9-4FDE-8497-221E49AD0B40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Vous ne passez pas en deuxième année</a:t>
          </a:fld>
          <a:endParaRPr lang="fr-FR" sz="3200"/>
        </a:p>
      </xdr:txBody>
    </xdr:sp>
    <xdr:clientData/>
  </xdr:twoCellAnchor>
  <xdr:twoCellAnchor>
    <xdr:from>
      <xdr:col>6</xdr:col>
      <xdr:colOff>535795</xdr:colOff>
      <xdr:row>33</xdr:row>
      <xdr:rowOff>66095</xdr:rowOff>
    </xdr:from>
    <xdr:to>
      <xdr:col>8</xdr:col>
      <xdr:colOff>400050</xdr:colOff>
      <xdr:row>35</xdr:row>
      <xdr:rowOff>24532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6CFB5F8F-A1DA-42E8-9392-1FF7B45DE609}"/>
            </a:ext>
          </a:extLst>
        </xdr:cNvPr>
        <xdr:cNvSpPr txBox="1"/>
      </xdr:nvSpPr>
      <xdr:spPr>
        <a:xfrm>
          <a:off x="5244955" y="6101135"/>
          <a:ext cx="1433975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1 </a:t>
          </a:r>
          <a:r>
            <a:rPr lang="fr-FR" sz="1100"/>
            <a:t>:</a:t>
          </a:r>
        </a:p>
      </xdr:txBody>
    </xdr:sp>
    <xdr:clientData/>
  </xdr:twoCellAnchor>
  <xdr:twoCellAnchor>
    <xdr:from>
      <xdr:col>6</xdr:col>
      <xdr:colOff>522460</xdr:colOff>
      <xdr:row>35</xdr:row>
      <xdr:rowOff>146105</xdr:rowOff>
    </xdr:from>
    <xdr:to>
      <xdr:col>8</xdr:col>
      <xdr:colOff>386715</xdr:colOff>
      <xdr:row>37</xdr:row>
      <xdr:rowOff>102637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FA5045E-7427-4023-ACCA-6266B97D33C7}"/>
            </a:ext>
          </a:extLst>
        </xdr:cNvPr>
        <xdr:cNvSpPr txBox="1"/>
      </xdr:nvSpPr>
      <xdr:spPr>
        <a:xfrm>
          <a:off x="5231620" y="6546905"/>
          <a:ext cx="1433975" cy="3222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2 </a:t>
          </a:r>
          <a:r>
            <a:rPr lang="fr-FR" sz="1100"/>
            <a:t>:</a:t>
          </a:r>
        </a:p>
      </xdr:txBody>
    </xdr:sp>
    <xdr:clientData/>
  </xdr:twoCellAnchor>
  <xdr:twoCellAnchor>
    <xdr:from>
      <xdr:col>6</xdr:col>
      <xdr:colOff>528175</xdr:colOff>
      <xdr:row>38</xdr:row>
      <xdr:rowOff>62285</xdr:rowOff>
    </xdr:from>
    <xdr:to>
      <xdr:col>8</xdr:col>
      <xdr:colOff>392430</xdr:colOff>
      <xdr:row>40</xdr:row>
      <xdr:rowOff>20722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229A738-BE8F-47BA-8143-A7C02FEFF480}"/>
            </a:ext>
          </a:extLst>
        </xdr:cNvPr>
        <xdr:cNvSpPr txBox="1"/>
      </xdr:nvSpPr>
      <xdr:spPr>
        <a:xfrm>
          <a:off x="5237335" y="7011725"/>
          <a:ext cx="1433975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3 </a:t>
          </a:r>
          <a:r>
            <a:rPr lang="fr-FR" sz="1100"/>
            <a:t>:</a:t>
          </a:r>
        </a:p>
      </xdr:txBody>
    </xdr:sp>
    <xdr:clientData/>
  </xdr:twoCellAnchor>
  <xdr:twoCellAnchor>
    <xdr:from>
      <xdr:col>8</xdr:col>
      <xdr:colOff>593911</xdr:colOff>
      <xdr:row>33</xdr:row>
      <xdr:rowOff>72391</xdr:rowOff>
    </xdr:from>
    <xdr:to>
      <xdr:col>10</xdr:col>
      <xdr:colOff>297181</xdr:colOff>
      <xdr:row>35</xdr:row>
      <xdr:rowOff>30827</xdr:rowOff>
    </xdr:to>
    <xdr:sp macro="" textlink="Semestre2!H53">
      <xdr:nvSpPr>
        <xdr:cNvPr id="35" name="ZoneTexte 34">
          <a:extLst>
            <a:ext uri="{FF2B5EF4-FFF2-40B4-BE49-F238E27FC236}">
              <a16:creationId xmlns:a16="http://schemas.microsoft.com/office/drawing/2014/main" id="{BD4B15DF-0462-4896-9F22-7382A67ACB47}"/>
            </a:ext>
          </a:extLst>
        </xdr:cNvPr>
        <xdr:cNvSpPr txBox="1"/>
      </xdr:nvSpPr>
      <xdr:spPr>
        <a:xfrm>
          <a:off x="6872791" y="6107431"/>
          <a:ext cx="127299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9309D3-B667-48C6-B803-FA02474CC0A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11,42</a:t>
          </a:fld>
          <a:endParaRPr lang="fr-FR" sz="1100"/>
        </a:p>
      </xdr:txBody>
    </xdr:sp>
    <xdr:clientData/>
  </xdr:twoCellAnchor>
  <xdr:twoCellAnchor>
    <xdr:from>
      <xdr:col>8</xdr:col>
      <xdr:colOff>586290</xdr:colOff>
      <xdr:row>35</xdr:row>
      <xdr:rowOff>167641</xdr:rowOff>
    </xdr:from>
    <xdr:to>
      <xdr:col>10</xdr:col>
      <xdr:colOff>289559</xdr:colOff>
      <xdr:row>37</xdr:row>
      <xdr:rowOff>124172</xdr:rowOff>
    </xdr:to>
    <xdr:sp macro="" textlink="Semestre2!H54">
      <xdr:nvSpPr>
        <xdr:cNvPr id="36" name="ZoneTexte 35">
          <a:extLst>
            <a:ext uri="{FF2B5EF4-FFF2-40B4-BE49-F238E27FC236}">
              <a16:creationId xmlns:a16="http://schemas.microsoft.com/office/drawing/2014/main" id="{77AE1D35-62FC-4E06-A7FC-C505B2EC4F07}"/>
            </a:ext>
          </a:extLst>
        </xdr:cNvPr>
        <xdr:cNvSpPr txBox="1"/>
      </xdr:nvSpPr>
      <xdr:spPr>
        <a:xfrm>
          <a:off x="6865170" y="6568441"/>
          <a:ext cx="1272989" cy="3222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DDC3FB5-A8B6-4F20-BEC4-B7340A6F10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Moyenne bloquée</a:t>
          </a:fld>
          <a:endParaRPr lang="fr-FR" sz="1100"/>
        </a:p>
      </xdr:txBody>
    </xdr:sp>
    <xdr:clientData/>
  </xdr:twoCellAnchor>
  <xdr:twoCellAnchor>
    <xdr:from>
      <xdr:col>8</xdr:col>
      <xdr:colOff>571050</xdr:colOff>
      <xdr:row>38</xdr:row>
      <xdr:rowOff>74296</xdr:rowOff>
    </xdr:from>
    <xdr:to>
      <xdr:col>10</xdr:col>
      <xdr:colOff>304800</xdr:colOff>
      <xdr:row>40</xdr:row>
      <xdr:rowOff>32732</xdr:rowOff>
    </xdr:to>
    <xdr:sp macro="" textlink="Semestre2!H55">
      <xdr:nvSpPr>
        <xdr:cNvPr id="37" name="ZoneTexte 36">
          <a:extLst>
            <a:ext uri="{FF2B5EF4-FFF2-40B4-BE49-F238E27FC236}">
              <a16:creationId xmlns:a16="http://schemas.microsoft.com/office/drawing/2014/main" id="{07A2D01A-B9E2-462D-A126-1769ECF4748B}"/>
            </a:ext>
          </a:extLst>
        </xdr:cNvPr>
        <xdr:cNvSpPr txBox="1"/>
      </xdr:nvSpPr>
      <xdr:spPr>
        <a:xfrm>
          <a:off x="6849930" y="7023736"/>
          <a:ext cx="130347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FA0E8D-A14F-44AD-AC4A-45C1AD62E2A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Moyenne bloquée</a:t>
          </a:fld>
          <a:endParaRPr lang="fr-FR" sz="1100"/>
        </a:p>
      </xdr:txBody>
    </xdr:sp>
    <xdr:clientData/>
  </xdr:twoCellAnchor>
  <xdr:twoCellAnchor>
    <xdr:from>
      <xdr:col>12</xdr:col>
      <xdr:colOff>276225</xdr:colOff>
      <xdr:row>18</xdr:row>
      <xdr:rowOff>114300</xdr:rowOff>
    </xdr:from>
    <xdr:to>
      <xdr:col>14</xdr:col>
      <xdr:colOff>476250</xdr:colOff>
      <xdr:row>20</xdr:row>
      <xdr:rowOff>123264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FC9966F1-F385-4F63-A1D5-69FF9543ECDF}"/>
            </a:ext>
          </a:extLst>
        </xdr:cNvPr>
        <xdr:cNvSpPr txBox="1"/>
      </xdr:nvSpPr>
      <xdr:spPr>
        <a:xfrm>
          <a:off x="9648825" y="3371850"/>
          <a:ext cx="1762125" cy="37091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Point de pénalité</a:t>
          </a:r>
          <a:r>
            <a:rPr lang="fr-FR" sz="1600" baseline="0"/>
            <a:t> :</a:t>
          </a:r>
          <a:endParaRPr lang="fr-FR" sz="1600"/>
        </a:p>
      </xdr:txBody>
    </xdr:sp>
    <xdr:clientData/>
  </xdr:twoCellAnchor>
  <xdr:twoCellAnchor>
    <xdr:from>
      <xdr:col>14</xdr:col>
      <xdr:colOff>581024</xdr:colOff>
      <xdr:row>18</xdr:row>
      <xdr:rowOff>108696</xdr:rowOff>
    </xdr:from>
    <xdr:to>
      <xdr:col>15</xdr:col>
      <xdr:colOff>295275</xdr:colOff>
      <xdr:row>20</xdr:row>
      <xdr:rowOff>133350</xdr:rowOff>
    </xdr:to>
    <xdr:sp macro="" textlink="Semestre2!F65">
      <xdr:nvSpPr>
        <xdr:cNvPr id="40" name="ZoneTexte 39">
          <a:extLst>
            <a:ext uri="{FF2B5EF4-FFF2-40B4-BE49-F238E27FC236}">
              <a16:creationId xmlns:a16="http://schemas.microsoft.com/office/drawing/2014/main" id="{541995C8-2AA6-4637-B7FC-2B8746CA4C3B}"/>
            </a:ext>
          </a:extLst>
        </xdr:cNvPr>
        <xdr:cNvSpPr txBox="1"/>
      </xdr:nvSpPr>
      <xdr:spPr>
        <a:xfrm>
          <a:off x="11515724" y="3366246"/>
          <a:ext cx="495301" cy="3866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58FDCF-8EF3-4DA0-BAEA-13DD4C1CA7C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0,4</a:t>
          </a:fld>
          <a:endParaRPr lang="en-US" sz="1600"/>
        </a:p>
      </xdr:txBody>
    </xdr:sp>
    <xdr:clientData/>
  </xdr:twoCellAnchor>
  <xdr:twoCellAnchor>
    <xdr:from>
      <xdr:col>5</xdr:col>
      <xdr:colOff>419101</xdr:colOff>
      <xdr:row>2</xdr:row>
      <xdr:rowOff>36978</xdr:rowOff>
    </xdr:from>
    <xdr:to>
      <xdr:col>10</xdr:col>
      <xdr:colOff>133351</xdr:colOff>
      <xdr:row>5</xdr:row>
      <xdr:rowOff>171450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7A53456C-BADE-4759-9AB6-5DFEAC0D608E}"/>
            </a:ext>
          </a:extLst>
        </xdr:cNvPr>
        <xdr:cNvSpPr txBox="1"/>
      </xdr:nvSpPr>
      <xdr:spPr>
        <a:xfrm>
          <a:off x="4324351" y="398928"/>
          <a:ext cx="3619500" cy="67739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3200"/>
            <a:t>Tableau de bord de :</a:t>
          </a:r>
        </a:p>
      </xdr:txBody>
    </xdr:sp>
    <xdr:clientData/>
  </xdr:twoCellAnchor>
  <xdr:twoCellAnchor>
    <xdr:from>
      <xdr:col>10</xdr:col>
      <xdr:colOff>188596</xdr:colOff>
      <xdr:row>6</xdr:row>
      <xdr:rowOff>114300</xdr:rowOff>
    </xdr:from>
    <xdr:to>
      <xdr:col>16</xdr:col>
      <xdr:colOff>541020</xdr:colOff>
      <xdr:row>10</xdr:row>
      <xdr:rowOff>64770</xdr:rowOff>
    </xdr:to>
    <xdr:sp macro="" textlink="Semestre1!B52">
      <xdr:nvSpPr>
        <xdr:cNvPr id="44" name="ZoneTexte 43">
          <a:extLst>
            <a:ext uri="{FF2B5EF4-FFF2-40B4-BE49-F238E27FC236}">
              <a16:creationId xmlns:a16="http://schemas.microsoft.com/office/drawing/2014/main" id="{611C015F-D756-44F5-8EA3-C33B591A79B7}"/>
            </a:ext>
          </a:extLst>
        </xdr:cNvPr>
        <xdr:cNvSpPr txBox="1"/>
      </xdr:nvSpPr>
      <xdr:spPr>
        <a:xfrm>
          <a:off x="8037196" y="1211580"/>
          <a:ext cx="5061584" cy="68199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C75E30-1FD9-4A49-8FE9-70E72F1C98F6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Billaud</a:t>
          </a:fld>
          <a:endParaRPr lang="fr-FR" sz="3200"/>
        </a:p>
      </xdr:txBody>
    </xdr:sp>
    <xdr:clientData/>
  </xdr:twoCellAnchor>
  <xdr:twoCellAnchor>
    <xdr:from>
      <xdr:col>10</xdr:col>
      <xdr:colOff>213361</xdr:colOff>
      <xdr:row>2</xdr:row>
      <xdr:rowOff>43815</xdr:rowOff>
    </xdr:from>
    <xdr:to>
      <xdr:col>16</xdr:col>
      <xdr:colOff>565785</xdr:colOff>
      <xdr:row>5</xdr:row>
      <xdr:rowOff>179070</xdr:rowOff>
    </xdr:to>
    <xdr:sp macro="" textlink="Semestre1!B53">
      <xdr:nvSpPr>
        <xdr:cNvPr id="45" name="ZoneTexte 44">
          <a:extLst>
            <a:ext uri="{FF2B5EF4-FFF2-40B4-BE49-F238E27FC236}">
              <a16:creationId xmlns:a16="http://schemas.microsoft.com/office/drawing/2014/main" id="{741C40BC-0E08-41E1-B72D-1A68B240BE4F}"/>
            </a:ext>
          </a:extLst>
        </xdr:cNvPr>
        <xdr:cNvSpPr txBox="1"/>
      </xdr:nvSpPr>
      <xdr:spPr>
        <a:xfrm>
          <a:off x="8061961" y="409575"/>
          <a:ext cx="5061584" cy="68389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0521A17-7904-4AD3-88DC-2E72E981FB7E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Nolan</a:t>
          </a:fld>
          <a:endParaRPr lang="fr-FR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60960</xdr:rowOff>
    </xdr:from>
    <xdr:to>
      <xdr:col>16</xdr:col>
      <xdr:colOff>518160</xdr:colOff>
      <xdr:row>20</xdr:row>
      <xdr:rowOff>160020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EFBBE1C-E7B4-7660-4880-3B8CFB3E5BC4}"/>
            </a:ext>
          </a:extLst>
        </xdr:cNvPr>
        <xdr:cNvSpPr/>
      </xdr:nvSpPr>
      <xdr:spPr>
        <a:xfrm>
          <a:off x="121920" y="60960"/>
          <a:ext cx="13075920" cy="3756660"/>
        </a:xfrm>
        <a:prstGeom prst="roundRect">
          <a:avLst>
            <a:gd name="adj" fmla="val 95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649304</xdr:colOff>
      <xdr:row>5</xdr:row>
      <xdr:rowOff>30480</xdr:rowOff>
    </xdr:from>
    <xdr:to>
      <xdr:col>5</xdr:col>
      <xdr:colOff>205740</xdr:colOff>
      <xdr:row>17</xdr:row>
      <xdr:rowOff>167639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CD4E8F1-D03B-41C5-964E-3C627EC8B2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586740</xdr:colOff>
      <xdr:row>0</xdr:row>
      <xdr:rowOff>152400</xdr:rowOff>
    </xdr:from>
    <xdr:to>
      <xdr:col>10</xdr:col>
      <xdr:colOff>259080</xdr:colOff>
      <xdr:row>4</xdr:row>
      <xdr:rowOff>7620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46F174CA-A98D-B818-2A70-AA4D36B32E43}"/>
            </a:ext>
          </a:extLst>
        </xdr:cNvPr>
        <xdr:cNvSpPr txBox="1"/>
      </xdr:nvSpPr>
      <xdr:spPr>
        <a:xfrm>
          <a:off x="5341620" y="152400"/>
          <a:ext cx="2842260" cy="586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Graphiques utiles</a:t>
          </a:r>
        </a:p>
      </xdr:txBody>
    </xdr:sp>
    <xdr:clientData/>
  </xdr:twoCellAnchor>
  <xdr:twoCellAnchor>
    <xdr:from>
      <xdr:col>6</xdr:col>
      <xdr:colOff>22860</xdr:colOff>
      <xdr:row>5</xdr:row>
      <xdr:rowOff>0</xdr:rowOff>
    </xdr:from>
    <xdr:to>
      <xdr:col>10</xdr:col>
      <xdr:colOff>518160</xdr:colOff>
      <xdr:row>17</xdr:row>
      <xdr:rowOff>167640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1E569211-9740-4961-BBA6-7350CE70D9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7740" y="914400"/>
              <a:ext cx="3665220" cy="2362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11</xdr:col>
      <xdr:colOff>312420</xdr:colOff>
      <xdr:row>4</xdr:row>
      <xdr:rowOff>175260</xdr:rowOff>
    </xdr:from>
    <xdr:to>
      <xdr:col>16</xdr:col>
      <xdr:colOff>15240</xdr:colOff>
      <xdr:row>17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aphique 5">
              <a:extLst>
                <a:ext uri="{FF2B5EF4-FFF2-40B4-BE49-F238E27FC236}">
                  <a16:creationId xmlns:a16="http://schemas.microsoft.com/office/drawing/2014/main" id="{2365F9AC-7C9A-469F-BE2F-0A43C5A15F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906780"/>
              <a:ext cx="3665220" cy="2362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2F1B-6221-421D-8358-F35F99145E2C}">
  <sheetPr codeName="Feuil5"/>
  <dimension ref="A1"/>
  <sheetViews>
    <sheetView tabSelected="1" zoomScaleNormal="100" workbookViewId="0">
      <selection activeCell="J55" sqref="J55"/>
    </sheetView>
  </sheetViews>
  <sheetFormatPr baseColWidth="10" defaultColWidth="11.44140625" defaultRowHeight="14.4" x14ac:dyDescent="0.3"/>
  <cols>
    <col min="1" max="16384" width="11.44140625" style="22"/>
  </cols>
  <sheetData/>
  <sheetProtection sheet="1" objects="1" scenarios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449580</xdr:colOff>
                <xdr:row>7</xdr:row>
                <xdr:rowOff>121920</xdr:rowOff>
              </from>
              <to>
                <xdr:col>4</xdr:col>
                <xdr:colOff>297180</xdr:colOff>
                <xdr:row>11</xdr:row>
                <xdr:rowOff>182880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5" r:id="rId6" name="CommandButton2">
          <controlPr defaultSize="0" autoLine="0" r:id="rId7">
            <anchor moveWithCells="1">
              <from>
                <xdr:col>2</xdr:col>
                <xdr:colOff>426720</xdr:colOff>
                <xdr:row>13</xdr:row>
                <xdr:rowOff>7620</xdr:rowOff>
              </from>
              <to>
                <xdr:col>4</xdr:col>
                <xdr:colOff>289560</xdr:colOff>
                <xdr:row>17</xdr:row>
                <xdr:rowOff>7620</xdr:rowOff>
              </to>
            </anchor>
          </controlPr>
        </control>
      </mc:Choice>
      <mc:Fallback>
        <control shapeId="8195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F975-946E-4CD9-8A58-8B2FCE037F48}">
  <sheetPr codeName="Feuil4"/>
  <dimension ref="A1"/>
  <sheetViews>
    <sheetView zoomScaleNormal="100" workbookViewId="0">
      <selection activeCell="L26" sqref="L26"/>
    </sheetView>
  </sheetViews>
  <sheetFormatPr baseColWidth="10" defaultRowHeight="14.4" x14ac:dyDescent="0.3"/>
  <cols>
    <col min="1" max="16384" width="11.5546875" style="32"/>
  </cols>
  <sheetData/>
  <sheetProtection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36C2-33EE-4472-86B4-A1B2E1CEE664}">
  <sheetPr codeName="Feuil2"/>
  <dimension ref="A2:P54"/>
  <sheetViews>
    <sheetView topLeftCell="A15" zoomScaleNormal="100" workbookViewId="0">
      <selection activeCell="B41" sqref="B41"/>
    </sheetView>
  </sheetViews>
  <sheetFormatPr baseColWidth="10" defaultRowHeight="14.4" x14ac:dyDescent="0.3"/>
  <cols>
    <col min="1" max="1" width="17.109375" bestFit="1" customWidth="1"/>
    <col min="2" max="2" width="27.88671875" customWidth="1"/>
    <col min="3" max="3" width="13.44140625" customWidth="1"/>
    <col min="5" max="5" width="12.5546875" bestFit="1" customWidth="1"/>
    <col min="6" max="6" width="16.44140625" bestFit="1" customWidth="1"/>
  </cols>
  <sheetData>
    <row r="2" spans="1:16" ht="15" thickBot="1" x14ac:dyDescent="0.35"/>
    <row r="3" spans="1:16" ht="15" thickBot="1" x14ac:dyDescent="0.35">
      <c r="B3" s="6" t="s">
        <v>42</v>
      </c>
      <c r="C3" s="6" t="s">
        <v>52</v>
      </c>
      <c r="D3" s="6" t="s">
        <v>43</v>
      </c>
      <c r="E3" s="6" t="s">
        <v>53</v>
      </c>
      <c r="F3" s="6" t="s">
        <v>65</v>
      </c>
      <c r="H3" s="6" t="s">
        <v>48</v>
      </c>
      <c r="I3" s="6" t="s">
        <v>49</v>
      </c>
      <c r="J3" s="6" t="s">
        <v>50</v>
      </c>
      <c r="K3" s="6" t="s">
        <v>51</v>
      </c>
    </row>
    <row r="4" spans="1:16" ht="15.75" customHeight="1" thickBot="1" x14ac:dyDescent="0.35">
      <c r="A4" s="14" t="s">
        <v>55</v>
      </c>
      <c r="B4" s="3" t="s">
        <v>0</v>
      </c>
      <c r="C4" s="1" t="s">
        <v>16</v>
      </c>
      <c r="D4" s="9">
        <v>5</v>
      </c>
      <c r="E4" s="16">
        <f>IF(COUNTIF(H4:Z4,"*ABI*"),"Moyenne bloquée",AVERAGE(H4:Z4))</f>
        <v>8.25</v>
      </c>
      <c r="F4" s="23">
        <f>IF(COUNTIF(A33:A38,"*Moyenne bloquée*"),"Moyenne bloquée",SUM(A33:A38))</f>
        <v>8.0067500000000003</v>
      </c>
      <c r="H4" s="18">
        <v>8</v>
      </c>
      <c r="I4" s="18">
        <v>14</v>
      </c>
      <c r="J4" s="18">
        <v>0</v>
      </c>
      <c r="K4" s="19">
        <v>11</v>
      </c>
    </row>
    <row r="5" spans="1:16" ht="29.4" thickBot="1" x14ac:dyDescent="0.35">
      <c r="A5" s="14" t="s">
        <v>55</v>
      </c>
      <c r="B5" s="2" t="s">
        <v>1</v>
      </c>
      <c r="C5" s="7" t="s">
        <v>45</v>
      </c>
      <c r="D5" s="8">
        <v>15</v>
      </c>
      <c r="E5" s="16">
        <f t="shared" ref="E5" si="0">IF(COUNTIF(H5:Z5,"*ABI*"),"Moyenne bloquée",AVERAGE(H5:Z5))</f>
        <v>9.5</v>
      </c>
      <c r="F5" s="23"/>
      <c r="H5" s="18">
        <v>6</v>
      </c>
      <c r="I5" s="18">
        <v>4</v>
      </c>
      <c r="J5" s="18">
        <v>14</v>
      </c>
      <c r="K5" s="19">
        <v>14</v>
      </c>
      <c r="P5" t="s">
        <v>54</v>
      </c>
    </row>
    <row r="6" spans="1:16" ht="16.2" thickBot="1" x14ac:dyDescent="0.35">
      <c r="A6" s="14" t="s">
        <v>55</v>
      </c>
      <c r="B6" s="2" t="s">
        <v>2</v>
      </c>
      <c r="C6" s="6" t="s">
        <v>18</v>
      </c>
      <c r="D6" s="8">
        <v>20</v>
      </c>
      <c r="E6" s="16">
        <f>IF(COUNTIF(H6:Z6,"*ABI*"),"Moyenne bloquée",AVERAGE(H6:Z6))</f>
        <v>6.45</v>
      </c>
      <c r="F6" s="23"/>
      <c r="H6" s="18">
        <v>9</v>
      </c>
      <c r="I6" s="18">
        <v>12.8</v>
      </c>
      <c r="J6" s="18">
        <v>4</v>
      </c>
      <c r="K6" s="19">
        <v>0</v>
      </c>
    </row>
    <row r="7" spans="1:16" ht="16.2" thickBot="1" x14ac:dyDescent="0.35">
      <c r="A7" s="14" t="s">
        <v>55</v>
      </c>
      <c r="B7" s="2" t="s">
        <v>3</v>
      </c>
      <c r="C7" s="6" t="s">
        <v>18</v>
      </c>
      <c r="D7" s="8">
        <v>20</v>
      </c>
      <c r="E7" s="16">
        <f t="shared" ref="E7:E8" si="1">IF(COUNTIF(H7:Z7,"*ABI*"),"Moyenne bloquée",AVERAGE(H7:Z7))</f>
        <v>9.5</v>
      </c>
      <c r="F7" s="23"/>
      <c r="H7" s="18">
        <v>19</v>
      </c>
      <c r="I7" s="18">
        <v>0</v>
      </c>
      <c r="J7" s="18">
        <v>19</v>
      </c>
      <c r="K7" s="19">
        <v>0</v>
      </c>
    </row>
    <row r="8" spans="1:16" ht="29.4" thickBot="1" x14ac:dyDescent="0.35">
      <c r="A8" s="14" t="s">
        <v>55</v>
      </c>
      <c r="B8" s="2" t="s">
        <v>4</v>
      </c>
      <c r="C8" s="7" t="s">
        <v>46</v>
      </c>
      <c r="D8" s="8">
        <v>30</v>
      </c>
      <c r="E8" s="16">
        <f t="shared" si="1"/>
        <v>7</v>
      </c>
      <c r="F8" s="23"/>
      <c r="H8" s="18">
        <v>0</v>
      </c>
      <c r="I8" s="18">
        <v>4</v>
      </c>
      <c r="J8" s="18">
        <v>20</v>
      </c>
      <c r="K8" s="19">
        <v>4</v>
      </c>
    </row>
    <row r="9" spans="1:16" ht="23.4" thickBot="1" x14ac:dyDescent="0.35">
      <c r="A9" s="14" t="s">
        <v>55</v>
      </c>
      <c r="B9" s="2" t="s">
        <v>5</v>
      </c>
      <c r="C9" s="6" t="s">
        <v>18</v>
      </c>
      <c r="D9" s="8">
        <v>10</v>
      </c>
      <c r="E9" s="16">
        <f>IF(COUNTIF(H9:Z9,"*ABI*"),"Moyenne bloquée",AVERAGE(H9:Z9))</f>
        <v>8.7925000000000004</v>
      </c>
      <c r="F9" s="23"/>
      <c r="H9" s="18">
        <v>12</v>
      </c>
      <c r="I9" s="18">
        <v>3.17</v>
      </c>
      <c r="J9" s="18">
        <v>20</v>
      </c>
      <c r="K9" s="19">
        <v>0</v>
      </c>
    </row>
    <row r="10" spans="1:16" ht="15.75" customHeight="1" thickBot="1" x14ac:dyDescent="0.35"/>
    <row r="11" spans="1:16" ht="18.75" customHeight="1" thickBot="1" x14ac:dyDescent="0.35">
      <c r="A11" s="15" t="s">
        <v>56</v>
      </c>
      <c r="B11" s="10" t="s">
        <v>0</v>
      </c>
      <c r="C11" s="6" t="s">
        <v>16</v>
      </c>
      <c r="D11" s="8">
        <v>5</v>
      </c>
      <c r="E11" s="17">
        <f>IF(COUNTIF(H11:Z11,"*ABI*"),"Moyenne bloquée",AVERAGE(H11:Z11))</f>
        <v>8.25</v>
      </c>
      <c r="F11" s="23" t="str">
        <f>IF(COUNTIF(C33:C37,"*Moyenne bloquée*"),"Moyenne bloquée",SUM(C33:C37))</f>
        <v>Moyenne bloquée</v>
      </c>
      <c r="H11" s="19">
        <v>8</v>
      </c>
      <c r="I11" s="19">
        <v>14</v>
      </c>
      <c r="J11" s="19">
        <v>0</v>
      </c>
      <c r="K11" s="19">
        <v>11</v>
      </c>
    </row>
    <row r="12" spans="1:16" ht="16.2" thickBot="1" x14ac:dyDescent="0.35">
      <c r="A12" s="15" t="s">
        <v>56</v>
      </c>
      <c r="B12" s="4" t="s">
        <v>6</v>
      </c>
      <c r="C12" s="6" t="s">
        <v>44</v>
      </c>
      <c r="D12" s="8">
        <v>20</v>
      </c>
      <c r="E12" s="17">
        <f t="shared" ref="E12:E14" si="2">IF(COUNTIF(H12:Z12,"*ABI*"),"Moyenne bloquée",AVERAGE(H12:Z12))</f>
        <v>13.75</v>
      </c>
      <c r="F12" s="23"/>
      <c r="H12" s="19">
        <v>16</v>
      </c>
      <c r="I12" s="19">
        <v>9</v>
      </c>
      <c r="J12" s="19">
        <v>16</v>
      </c>
      <c r="K12" s="19">
        <v>14</v>
      </c>
    </row>
    <row r="13" spans="1:16" ht="16.2" thickBot="1" x14ac:dyDescent="0.35">
      <c r="A13" s="15" t="s">
        <v>56</v>
      </c>
      <c r="B13" s="4" t="s">
        <v>7</v>
      </c>
      <c r="C13" s="6" t="s">
        <v>25</v>
      </c>
      <c r="D13" s="8">
        <v>15</v>
      </c>
      <c r="E13" s="17" t="str">
        <f t="shared" si="2"/>
        <v>Moyenne bloquée</v>
      </c>
      <c r="F13" s="23"/>
      <c r="H13" s="19">
        <v>15</v>
      </c>
      <c r="I13" s="19">
        <v>17</v>
      </c>
      <c r="J13" s="19" t="s">
        <v>66</v>
      </c>
      <c r="K13" s="19"/>
    </row>
    <row r="14" spans="1:16" ht="16.2" thickBot="1" x14ac:dyDescent="0.35">
      <c r="A14" s="15" t="s">
        <v>56</v>
      </c>
      <c r="B14" s="4" t="s">
        <v>8</v>
      </c>
      <c r="C14" s="6" t="s">
        <v>21</v>
      </c>
      <c r="D14" s="8">
        <v>20</v>
      </c>
      <c r="E14" s="17">
        <f t="shared" si="2"/>
        <v>14</v>
      </c>
      <c r="F14" s="23"/>
      <c r="H14" s="19">
        <v>18</v>
      </c>
      <c r="I14" s="19"/>
      <c r="J14" s="19">
        <v>8</v>
      </c>
      <c r="K14" s="19">
        <v>16</v>
      </c>
    </row>
    <row r="15" spans="1:16" ht="34.799999999999997" thickBot="1" x14ac:dyDescent="0.35">
      <c r="A15" s="15" t="s">
        <v>56</v>
      </c>
      <c r="B15" s="4" t="s">
        <v>9</v>
      </c>
      <c r="C15" s="7" t="s">
        <v>47</v>
      </c>
      <c r="D15" s="8">
        <v>40</v>
      </c>
      <c r="E15" s="17">
        <f>IF(COUNTIF(H15:Z15,"*ABI*"),"Moyenne bloquée",AVERAGE(H15:Z15))</f>
        <v>11.5</v>
      </c>
      <c r="F15" s="23"/>
      <c r="H15" s="19">
        <v>12</v>
      </c>
      <c r="I15" s="19">
        <v>4</v>
      </c>
      <c r="J15" s="19">
        <v>16</v>
      </c>
      <c r="K15" s="19">
        <v>14</v>
      </c>
    </row>
    <row r="16" spans="1:16" ht="15" thickBot="1" x14ac:dyDescent="0.35"/>
    <row r="17" spans="1:14" ht="18.75" customHeight="1" thickBot="1" x14ac:dyDescent="0.35">
      <c r="A17" s="15" t="s">
        <v>57</v>
      </c>
      <c r="B17" s="10" t="s">
        <v>0</v>
      </c>
      <c r="C17" s="6" t="s">
        <v>16</v>
      </c>
      <c r="D17" s="8">
        <v>5</v>
      </c>
      <c r="E17" s="17">
        <f>IF(COUNTIF(H17:Z17,"*ABI*"),"Moyenne bloquée",AVERAGE(H17:Z17))</f>
        <v>8.25</v>
      </c>
      <c r="F17" s="23">
        <f>IF(COUNTIF(E33:E39,"*Moyenne bloquée*"),"Moyenne bloquée",SUM(E33:E39))</f>
        <v>10.6875</v>
      </c>
      <c r="H17" s="19">
        <v>8</v>
      </c>
      <c r="I17" s="19">
        <v>14</v>
      </c>
      <c r="J17" s="19">
        <v>0</v>
      </c>
      <c r="K17" s="19">
        <v>11</v>
      </c>
    </row>
    <row r="18" spans="1:14" ht="16.2" thickBot="1" x14ac:dyDescent="0.35">
      <c r="A18" s="15" t="s">
        <v>57</v>
      </c>
      <c r="B18" s="5" t="s">
        <v>10</v>
      </c>
      <c r="C18" s="6" t="s">
        <v>29</v>
      </c>
      <c r="D18" s="8">
        <v>15</v>
      </c>
      <c r="E18" s="17">
        <f t="shared" ref="E18:E23" si="3">IF(COUNTIF(H18:Z18,"*ABI*"),"Moyenne bloquée",AVERAGE(H18:Z18))</f>
        <v>10.5</v>
      </c>
      <c r="F18" s="23"/>
      <c r="H18" s="19">
        <v>9</v>
      </c>
      <c r="I18" s="19">
        <v>12</v>
      </c>
      <c r="J18" s="19"/>
      <c r="K18" s="19"/>
    </row>
    <row r="19" spans="1:14" ht="23.4" thickBot="1" x14ac:dyDescent="0.35">
      <c r="A19" s="15" t="s">
        <v>57</v>
      </c>
      <c r="B19" s="5" t="s">
        <v>11</v>
      </c>
      <c r="C19" s="6" t="s">
        <v>16</v>
      </c>
      <c r="D19" s="8">
        <v>15</v>
      </c>
      <c r="E19" s="17">
        <f t="shared" si="3"/>
        <v>6</v>
      </c>
      <c r="F19" s="23"/>
      <c r="H19" s="19">
        <v>5</v>
      </c>
      <c r="I19" s="19">
        <v>13</v>
      </c>
      <c r="J19" s="19">
        <v>0</v>
      </c>
      <c r="K19" s="19"/>
    </row>
    <row r="20" spans="1:14" ht="34.799999999999997" thickBot="1" x14ac:dyDescent="0.35">
      <c r="A20" s="15" t="s">
        <v>57</v>
      </c>
      <c r="B20" s="5" t="s">
        <v>12</v>
      </c>
      <c r="C20" s="7" t="s">
        <v>47</v>
      </c>
      <c r="D20" s="8">
        <v>25</v>
      </c>
      <c r="E20" s="17">
        <f t="shared" si="3"/>
        <v>12.5</v>
      </c>
      <c r="F20" s="23"/>
      <c r="H20" s="19">
        <v>4</v>
      </c>
      <c r="I20" s="19">
        <v>12</v>
      </c>
      <c r="J20" s="19">
        <v>20</v>
      </c>
      <c r="K20" s="19">
        <v>14</v>
      </c>
    </row>
    <row r="21" spans="1:14" ht="23.4" thickBot="1" x14ac:dyDescent="0.35">
      <c r="A21" s="15" t="s">
        <v>57</v>
      </c>
      <c r="B21" s="5" t="s">
        <v>13</v>
      </c>
      <c r="C21" s="6" t="s">
        <v>44</v>
      </c>
      <c r="D21" s="8">
        <v>15</v>
      </c>
      <c r="E21" s="17">
        <f t="shared" si="3"/>
        <v>11</v>
      </c>
      <c r="F21" s="23"/>
      <c r="H21" s="19">
        <v>6</v>
      </c>
      <c r="I21" s="19">
        <v>13</v>
      </c>
      <c r="J21" s="19">
        <v>14</v>
      </c>
      <c r="K21" s="19"/>
    </row>
    <row r="22" spans="1:14" ht="23.4" thickBot="1" x14ac:dyDescent="0.35">
      <c r="A22" s="15" t="s">
        <v>57</v>
      </c>
      <c r="B22" s="5" t="s">
        <v>14</v>
      </c>
      <c r="C22" s="6" t="s">
        <v>16</v>
      </c>
      <c r="D22" s="8">
        <v>10</v>
      </c>
      <c r="E22" s="17">
        <f t="shared" si="3"/>
        <v>10</v>
      </c>
      <c r="F22" s="23"/>
      <c r="H22" s="19">
        <v>2</v>
      </c>
      <c r="I22" s="19">
        <v>11</v>
      </c>
      <c r="J22" s="19">
        <v>17</v>
      </c>
      <c r="K22" s="19"/>
    </row>
    <row r="23" spans="1:14" ht="16.2" thickBot="1" x14ac:dyDescent="0.35">
      <c r="A23" s="15" t="s">
        <v>57</v>
      </c>
      <c r="B23" s="5" t="s">
        <v>15</v>
      </c>
      <c r="C23" s="6" t="s">
        <v>31</v>
      </c>
      <c r="D23" s="8">
        <v>15</v>
      </c>
      <c r="E23" s="17">
        <f t="shared" si="3"/>
        <v>13.5</v>
      </c>
      <c r="F23" s="23"/>
      <c r="H23" s="19">
        <v>18</v>
      </c>
      <c r="I23" s="19">
        <v>9</v>
      </c>
      <c r="J23" s="19"/>
      <c r="K23" s="19"/>
    </row>
    <row r="24" spans="1:14" ht="15" thickBot="1" x14ac:dyDescent="0.35"/>
    <row r="25" spans="1:14" ht="47.4" thickBot="1" x14ac:dyDescent="0.35">
      <c r="A25" s="27" t="s">
        <v>67</v>
      </c>
      <c r="B25" s="19">
        <v>4</v>
      </c>
    </row>
    <row r="26" spans="1:14" ht="15" thickBot="1" x14ac:dyDescent="0.35"/>
    <row r="27" spans="1:14" ht="31.8" thickBot="1" x14ac:dyDescent="0.35">
      <c r="A27" s="27" t="s">
        <v>69</v>
      </c>
      <c r="B27" s="19">
        <v>12</v>
      </c>
    </row>
    <row r="29" spans="1:14" x14ac:dyDescent="0.3">
      <c r="A29" s="33"/>
      <c r="B29" s="33"/>
      <c r="C29" s="33"/>
      <c r="D29" s="33"/>
      <c r="E29" s="33"/>
      <c r="F29" s="33"/>
      <c r="G29" s="33"/>
      <c r="H29" s="33"/>
      <c r="I29" s="31"/>
      <c r="J29" s="31"/>
      <c r="K29" s="31"/>
      <c r="L29" s="31"/>
      <c r="M29" s="31"/>
      <c r="N29" s="31"/>
    </row>
    <row r="30" spans="1:14" x14ac:dyDescent="0.3">
      <c r="A30" s="33"/>
      <c r="B30" s="33"/>
      <c r="C30" s="33"/>
      <c r="D30" s="33"/>
      <c r="E30" s="33"/>
      <c r="F30" s="33"/>
      <c r="G30" s="33"/>
      <c r="H30" s="33"/>
      <c r="I30" s="31"/>
      <c r="J30" s="31"/>
      <c r="K30" s="31"/>
      <c r="L30" s="31"/>
      <c r="M30" s="31"/>
      <c r="N30" s="31"/>
    </row>
    <row r="31" spans="1:14" x14ac:dyDescent="0.3">
      <c r="A31" s="33"/>
      <c r="B31" s="33"/>
      <c r="C31" s="33"/>
      <c r="D31" s="33"/>
      <c r="E31" s="33"/>
      <c r="F31" s="33"/>
      <c r="G31" s="33"/>
      <c r="H31" s="33"/>
      <c r="I31" s="31"/>
      <c r="J31" s="31"/>
      <c r="K31" s="31"/>
      <c r="L31" s="31"/>
      <c r="M31" s="31"/>
      <c r="N31" s="31"/>
    </row>
    <row r="32" spans="1:14" x14ac:dyDescent="0.3">
      <c r="A32" s="33"/>
      <c r="B32" s="33"/>
      <c r="C32" s="33"/>
      <c r="D32" s="33"/>
      <c r="E32" s="33"/>
      <c r="F32" s="33"/>
      <c r="G32" s="33" t="str">
        <f>IF(AND((F4&gt;10)+(F11&gt;10)+(F17&gt;10)&gt;=2,(F4&lt;8)+(F11&lt;8)+(F17&lt;8)=0),"oui","non")</f>
        <v>oui</v>
      </c>
      <c r="H32" s="33"/>
      <c r="I32" s="31"/>
      <c r="J32" s="31"/>
      <c r="K32" s="31"/>
      <c r="L32" s="31"/>
      <c r="M32" s="31"/>
      <c r="N32" s="31"/>
    </row>
    <row r="33" spans="1:14" x14ac:dyDescent="0.3">
      <c r="A33" s="33">
        <f>IF(COUNTIF(E4,"*Moyenne bloquée*"),"Moyenne bloquée",D4*E4/100)</f>
        <v>0.41249999999999998</v>
      </c>
      <c r="B33" s="33"/>
      <c r="C33" s="33">
        <f>IF(COUNTIF(E11,"*Moyenne bloquée*"),"Moyenne bloquée",D11*E11/100)</f>
        <v>0.41249999999999998</v>
      </c>
      <c r="D33" s="33"/>
      <c r="E33" s="33">
        <f>IF(COUNTIF(E17,"*Moyenne bloquée*"),"Moyenne bloquée",D17*E17/100)</f>
        <v>0.41249999999999998</v>
      </c>
      <c r="F33" s="33"/>
      <c r="G33" s="33"/>
      <c r="H33" s="33"/>
      <c r="I33" s="31"/>
      <c r="J33" s="31"/>
      <c r="K33" s="31"/>
      <c r="L33" s="31"/>
      <c r="M33" s="31"/>
      <c r="N33" s="31"/>
    </row>
    <row r="34" spans="1:14" x14ac:dyDescent="0.3">
      <c r="A34" s="33">
        <f t="shared" ref="A34:A38" si="4">IF(COUNTIF(E5,"*Moyenne bloquée*"),"Moyenne bloquée",D5*E5/100)</f>
        <v>1.425</v>
      </c>
      <c r="B34" s="33"/>
      <c r="C34" s="33">
        <f t="shared" ref="C34:C37" si="5">IF(COUNTIF(E12,"*Moyenne bloquée*"),"Moyenne bloquée",D12*E12/100)</f>
        <v>2.75</v>
      </c>
      <c r="D34" s="33"/>
      <c r="E34" s="33">
        <f t="shared" ref="E34:E39" si="6">IF(COUNTIF(E18,"*Moyenne bloquée*"),"Moyenne bloquée",D18*E18/100)</f>
        <v>1.575</v>
      </c>
      <c r="F34" s="33"/>
      <c r="G34" s="33"/>
      <c r="H34" s="34">
        <f>IF(COUNTIF(A33:A38,"Moyenne bloquée")&gt;0,"Moyenne bloquée",IF(B27="Pas de bonifiant",IF(B25&lt;6,IF(COUNTIF(A33:A38,"*Moyenne bloquée*"),"Moyenne bloquée",SUM(A33:A38)),IF(COUNTIF(A33:A38,"*Moyenne bloquée*"),"Moyenne bloquée",SUM(A33:A38))-((B25-5)*0.2)),IF(B27&gt;10,IF(B25&lt;6,IF(COUNTIF(A33:A38,"*Moyenne bloquée*"),"Moyenne bloquée",SUM(A33:A38)),IF(COUNTIF(A33:A38,"*Moyenne bloquée*"),"Moyenne bloquée",SUM(A33:A38))-((B25-5)*0.2))+(ROUNDUP(B27,0)-10)*0.05,IF(B25&lt;6,IF(COUNTIF(A33:A38,"*Moyenne bloquée*"),"Moyenne bloquée",SUM(A33:A38)),IF(COUNTIF(A33:A38,"*Moyenne bloquée*"),"Moyenne bloquée",SUM(A33:A38))-((B25-5)*0.2)))))</f>
        <v>8.1067499999999999</v>
      </c>
      <c r="I34" s="31"/>
      <c r="J34" s="31"/>
      <c r="K34" s="31"/>
      <c r="L34" s="31"/>
      <c r="M34" s="31"/>
      <c r="N34" s="31"/>
    </row>
    <row r="35" spans="1:14" x14ac:dyDescent="0.3">
      <c r="A35" s="33">
        <f t="shared" si="4"/>
        <v>1.29</v>
      </c>
      <c r="B35" s="33"/>
      <c r="C35" s="33" t="str">
        <f t="shared" si="5"/>
        <v>Moyenne bloquée</v>
      </c>
      <c r="D35" s="33"/>
      <c r="E35" s="33">
        <f t="shared" si="6"/>
        <v>0.9</v>
      </c>
      <c r="F35" s="33"/>
      <c r="G35" s="33"/>
      <c r="H35" s="34" t="str">
        <f>IF(COUNTIF(C33:C37,"Moyenne bloquée")&gt;0,"Moyenne bloquée",IF(B27="Pas de bonifiant",IF(B25&lt;6,IF(COUNTIF(C33:C37,"*Moyenne bloquée*"),"Moyenne bloquée",SUM(C33:C37)),IF(COUNTIF(C33:C37,"*Moyenne bloquée*"),"Moyenne bloquée",SUM(C33:C37))-((B25-5)*0.2)),IF(B27&gt;10,IF(B25&lt;6,IF(COUNTIF(C33:C37,"*Moyenne bloquée*"),"Moyenne bloquée",SUM(C33:C37)),IF(COUNTIF(C33:C37,"*Moyenne bloquée*"),"Moyenne bloquée",SUM(C33:C37))-((B25-5)*0.2))+(ROUNDUP(B27,0)-10)*0.05,IF(B25&lt;6,IF(COUNTIF(C33:C37,"*Moyenne bloquée*"),"Moyenne bloquée",SUM(C33:C37)),IF(COUNTIF(C33:C37,"*Moyenne bloquée*"),"Moyenne bloquée",SUM(C33:C37))-((B25-5)*0.2)))))</f>
        <v>Moyenne bloquée</v>
      </c>
      <c r="I35" s="31"/>
      <c r="J35" s="31"/>
      <c r="K35" s="31"/>
      <c r="L35" s="31"/>
      <c r="M35" s="31"/>
      <c r="N35" s="31"/>
    </row>
    <row r="36" spans="1:14" x14ac:dyDescent="0.3">
      <c r="A36" s="33">
        <f t="shared" si="4"/>
        <v>1.9</v>
      </c>
      <c r="B36" s="33"/>
      <c r="C36" s="33">
        <f t="shared" si="5"/>
        <v>2.8</v>
      </c>
      <c r="D36" s="33"/>
      <c r="E36" s="33">
        <f t="shared" si="6"/>
        <v>3.125</v>
      </c>
      <c r="F36" s="33"/>
      <c r="G36" s="33"/>
      <c r="H36" s="34">
        <f>IF(COUNTIF(E33:E39,"Moyenne bloquée")&gt;0,"Moyenne bloquée",IF(B27="Pas de bonifiant",IF(B25&lt;6,IF(COUNTIF(E33:E39,"*Moyenne bloquée*"),"Moyenne bloquée",SUM(E33:E39)),IF(COUNTIF(E33:E39,"*Moyenne bloquée*"),"Moyenne bloquée",SUM(E33:E39))-((B25-5)*0.2)),IF(B27&gt;10,IF(B25&lt;6,IF(COUNTIF(E33:E39,"*Moyenne bloquée*"),"Moyenne bloquée",SUM(E33:E39)),IF(COUNTIF(E33:E39,"*Moyenne bloquée*"),"Moyenne bloquée",SUM(E33:E39))-((B25-5)*0.2))+(ROUNDUP(B27,0)-10)*0.05,IF(B25&lt;6,IF(COUNTIF(E33:E39,"*Moyenne bloquée*"),"Moyenne bloquée",SUM(E33:E39)),IF(COUNTIF(E33:E39,"*Moyenne bloquée*"),"Moyenne bloquée",SUM(E33:E39))-((B25-5)*0.2)))))</f>
        <v>10.7875</v>
      </c>
      <c r="I36" s="31"/>
      <c r="J36" s="31"/>
      <c r="K36" s="31"/>
      <c r="L36" s="31"/>
      <c r="M36" s="31"/>
      <c r="N36" s="31"/>
    </row>
    <row r="37" spans="1:14" x14ac:dyDescent="0.3">
      <c r="A37" s="33">
        <f t="shared" si="4"/>
        <v>2.1</v>
      </c>
      <c r="B37" s="33"/>
      <c r="C37" s="33">
        <f t="shared" si="5"/>
        <v>4.5999999999999996</v>
      </c>
      <c r="D37" s="33"/>
      <c r="E37" s="33">
        <f t="shared" si="6"/>
        <v>1.65</v>
      </c>
      <c r="F37" s="33"/>
      <c r="G37" s="33"/>
      <c r="H37" s="33"/>
      <c r="I37" s="31"/>
      <c r="J37" s="31"/>
      <c r="K37" s="31"/>
      <c r="L37" s="31"/>
      <c r="M37" s="31"/>
      <c r="N37" s="31"/>
    </row>
    <row r="38" spans="1:14" x14ac:dyDescent="0.3">
      <c r="A38" s="33">
        <f t="shared" si="4"/>
        <v>0.87925000000000009</v>
      </c>
      <c r="B38" s="33"/>
      <c r="C38" s="33"/>
      <c r="D38" s="33"/>
      <c r="E38" s="33">
        <f t="shared" si="6"/>
        <v>1</v>
      </c>
      <c r="F38" s="33"/>
      <c r="G38" s="33"/>
      <c r="H38" s="33"/>
      <c r="I38" s="31"/>
      <c r="J38" s="31"/>
      <c r="K38" s="31"/>
      <c r="L38" s="31"/>
      <c r="M38" s="31"/>
      <c r="N38" s="31"/>
    </row>
    <row r="39" spans="1:14" x14ac:dyDescent="0.3">
      <c r="A39" s="33"/>
      <c r="B39" s="33"/>
      <c r="C39" s="33"/>
      <c r="D39" s="33"/>
      <c r="E39" s="33">
        <f t="shared" si="6"/>
        <v>2.0249999999999999</v>
      </c>
      <c r="F39" s="33"/>
      <c r="G39" s="33"/>
      <c r="H39" s="33"/>
      <c r="I39" s="31"/>
      <c r="J39" s="31"/>
      <c r="K39" s="31"/>
      <c r="L39" s="31"/>
      <c r="M39" s="31"/>
      <c r="N39" s="31"/>
    </row>
    <row r="40" spans="1:14" x14ac:dyDescent="0.3">
      <c r="A40" s="33"/>
      <c r="B40" s="33"/>
      <c r="C40" s="33"/>
      <c r="D40" s="33"/>
      <c r="E40" s="33"/>
      <c r="F40" s="33"/>
      <c r="G40" s="33"/>
      <c r="H40" s="33"/>
      <c r="I40" s="31"/>
      <c r="J40" s="31"/>
      <c r="K40" s="31"/>
      <c r="L40" s="31"/>
      <c r="M40" s="31"/>
      <c r="N40" s="31"/>
    </row>
    <row r="41" spans="1:14" x14ac:dyDescent="0.3">
      <c r="A41" s="33"/>
      <c r="B41" s="33"/>
      <c r="C41" s="33"/>
      <c r="D41" s="33"/>
      <c r="E41" s="33"/>
      <c r="F41" s="33"/>
      <c r="G41" s="33"/>
      <c r="H41" s="33"/>
      <c r="I41" s="31"/>
      <c r="J41" s="31"/>
      <c r="K41" s="31"/>
      <c r="L41" s="31"/>
      <c r="M41" s="31"/>
      <c r="N41" s="31"/>
    </row>
    <row r="42" spans="1:14" x14ac:dyDescent="0.3">
      <c r="A42" s="33"/>
      <c r="B42" s="33"/>
      <c r="C42" s="33"/>
      <c r="D42" s="33"/>
      <c r="E42" s="33"/>
      <c r="F42" s="33"/>
      <c r="G42" s="33"/>
      <c r="H42" s="33"/>
      <c r="I42" s="31"/>
      <c r="J42" s="31"/>
      <c r="K42" s="31"/>
      <c r="L42" s="31"/>
      <c r="M42" s="31"/>
      <c r="N42" s="31"/>
    </row>
    <row r="43" spans="1:14" x14ac:dyDescent="0.3">
      <c r="A43" s="33"/>
      <c r="B43" s="33"/>
      <c r="C43" s="33"/>
      <c r="D43" s="33"/>
      <c r="E43" s="33"/>
      <c r="F43" s="33"/>
      <c r="G43" s="33"/>
      <c r="H43" s="33"/>
      <c r="I43" s="31"/>
      <c r="J43" s="31"/>
      <c r="K43" s="31"/>
      <c r="L43" s="31"/>
      <c r="M43" s="31"/>
      <c r="N43" s="31"/>
    </row>
    <row r="44" spans="1:14" x14ac:dyDescent="0.3">
      <c r="A44" s="33"/>
      <c r="B44" s="33"/>
      <c r="C44" s="33"/>
      <c r="D44" s="33"/>
      <c r="E44" s="33"/>
      <c r="F44" s="33"/>
      <c r="G44" s="33"/>
      <c r="H44" s="33"/>
      <c r="I44" s="31"/>
      <c r="J44" s="31"/>
      <c r="K44" s="31"/>
      <c r="L44" s="31"/>
      <c r="M44" s="31"/>
      <c r="N44" s="31"/>
    </row>
    <row r="45" spans="1:14" x14ac:dyDescent="0.3">
      <c r="A45" s="33"/>
      <c r="B45" s="33"/>
      <c r="C45" s="33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</row>
    <row r="46" spans="1:14" x14ac:dyDescent="0.3">
      <c r="A46" s="33"/>
      <c r="B46" s="33"/>
      <c r="C46" s="33"/>
      <c r="D46" s="33"/>
      <c r="E46" s="33"/>
      <c r="F46" s="33"/>
      <c r="G46" s="33"/>
      <c r="H46" s="33"/>
      <c r="I46" s="31"/>
      <c r="J46" s="31"/>
      <c r="K46" s="31"/>
      <c r="L46" s="31"/>
      <c r="M46" s="31"/>
      <c r="N46" s="31"/>
    </row>
    <row r="47" spans="1:14" x14ac:dyDescent="0.3">
      <c r="A47" s="33"/>
      <c r="B47" s="33"/>
      <c r="C47" s="33"/>
      <c r="D47" s="33"/>
      <c r="E47" s="33"/>
      <c r="F47" s="33"/>
      <c r="G47" s="33"/>
      <c r="H47" s="33"/>
      <c r="I47" s="31"/>
      <c r="J47" s="31"/>
      <c r="K47" s="31"/>
      <c r="L47" s="31"/>
      <c r="M47" s="31"/>
      <c r="N47" s="31"/>
    </row>
    <row r="48" spans="1:14" x14ac:dyDescent="0.3">
      <c r="A48" s="33"/>
      <c r="B48" s="33"/>
      <c r="C48" s="33"/>
      <c r="D48" s="33"/>
      <c r="E48" s="33"/>
      <c r="F48" s="33"/>
      <c r="G48" s="33"/>
      <c r="H48" s="33"/>
      <c r="I48" s="31"/>
      <c r="J48" s="31"/>
      <c r="K48" s="31"/>
      <c r="L48" s="31"/>
      <c r="M48" s="31"/>
      <c r="N48" s="31"/>
    </row>
    <row r="49" spans="1:14" x14ac:dyDescent="0.3">
      <c r="A49" s="33"/>
      <c r="B49" s="33"/>
      <c r="C49" s="33"/>
      <c r="D49" s="33"/>
      <c r="E49" s="33"/>
      <c r="F49" s="33"/>
      <c r="G49" s="33"/>
      <c r="H49" s="33"/>
      <c r="I49" s="31"/>
      <c r="J49" s="31"/>
      <c r="K49" s="31"/>
      <c r="L49" s="31"/>
      <c r="M49" s="31"/>
      <c r="N49" s="31"/>
    </row>
    <row r="50" spans="1:14" x14ac:dyDescent="0.3">
      <c r="A50" s="33"/>
      <c r="B50" s="33"/>
      <c r="C50" s="33"/>
      <c r="D50" s="33"/>
      <c r="E50" s="33"/>
      <c r="F50" s="33"/>
      <c r="G50" s="33"/>
      <c r="H50" s="33"/>
      <c r="I50" s="31"/>
      <c r="J50" s="31"/>
      <c r="K50" s="31"/>
      <c r="L50" s="31"/>
      <c r="M50" s="31"/>
      <c r="N50" s="31"/>
    </row>
    <row r="51" spans="1:14" x14ac:dyDescent="0.3">
      <c r="A51" s="33"/>
      <c r="B51" s="33"/>
      <c r="C51" s="33"/>
      <c r="D51" s="33"/>
      <c r="E51" s="33"/>
      <c r="F51" s="33"/>
      <c r="G51" s="33"/>
      <c r="H51" s="33"/>
      <c r="I51" s="31"/>
      <c r="J51" s="31"/>
      <c r="K51" s="31"/>
      <c r="L51" s="31"/>
      <c r="M51" s="31"/>
      <c r="N51" s="31"/>
    </row>
    <row r="52" spans="1:14" x14ac:dyDescent="0.3">
      <c r="A52" s="33" t="s">
        <v>76</v>
      </c>
      <c r="B52" s="33" t="s">
        <v>83</v>
      </c>
      <c r="C52" s="33"/>
      <c r="D52" s="33"/>
      <c r="E52" s="33"/>
      <c r="F52" s="33"/>
      <c r="G52" s="33"/>
      <c r="H52" s="33"/>
      <c r="I52" s="31"/>
      <c r="J52" s="31"/>
      <c r="K52" s="31"/>
      <c r="L52" s="31"/>
      <c r="M52" s="31"/>
      <c r="N52" s="31"/>
    </row>
    <row r="53" spans="1:14" x14ac:dyDescent="0.3">
      <c r="A53" s="33" t="s">
        <v>77</v>
      </c>
      <c r="B53" s="33" t="s">
        <v>84</v>
      </c>
      <c r="C53" s="33"/>
      <c r="D53" s="33"/>
      <c r="E53" s="33"/>
      <c r="F53" s="33"/>
      <c r="G53" s="33"/>
      <c r="H53" s="33"/>
      <c r="I53" s="31"/>
      <c r="J53" s="31"/>
      <c r="K53" s="31"/>
      <c r="L53" s="31"/>
      <c r="M53" s="31"/>
      <c r="N53" s="31"/>
    </row>
    <row r="54" spans="1:14" x14ac:dyDescent="0.3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</row>
  </sheetData>
  <sheetProtection sheet="1" objects="1" scenarios="1"/>
  <protectedRanges>
    <protectedRange sqref="B25:B27" name="Plage2"/>
    <protectedRange sqref="H3:Z22 H23:Z23 B51 B52:B53" name="Plage1"/>
  </protectedRanges>
  <mergeCells count="3">
    <mergeCell ref="F4:F9"/>
    <mergeCell ref="F11:F15"/>
    <mergeCell ref="F17:F23"/>
  </mergeCells>
  <phoneticPr fontId="4" type="noConversion"/>
  <pageMargins left="0.7" right="0.7" top="0.75" bottom="0.75" header="0.3" footer="0.3"/>
  <pageSetup paperSize="9" orientation="portrait" verticalDpi="0" r:id="rId1"/>
  <ignoredErrors>
    <ignoredError sqref="E1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55E9E-6725-4E63-90BC-4DE15CE9AF7C}">
  <sheetPr codeName="Feuil3"/>
  <dimension ref="A2:S93"/>
  <sheetViews>
    <sheetView topLeftCell="A10" zoomScale="80" zoomScaleNormal="80" workbookViewId="0">
      <selection activeCell="G16" sqref="G16"/>
    </sheetView>
  </sheetViews>
  <sheetFormatPr baseColWidth="10" defaultRowHeight="14.4" x14ac:dyDescent="0.3"/>
  <cols>
    <col min="1" max="1" width="17.109375" bestFit="1" customWidth="1"/>
    <col min="2" max="2" width="32.109375" customWidth="1"/>
    <col min="3" max="3" width="16.5546875" customWidth="1"/>
    <col min="5" max="6" width="17.44140625" bestFit="1" customWidth="1"/>
  </cols>
  <sheetData>
    <row r="2" spans="1:13" ht="15" thickBot="1" x14ac:dyDescent="0.35"/>
    <row r="3" spans="1:13" ht="15" thickBot="1" x14ac:dyDescent="0.35">
      <c r="B3" s="6" t="s">
        <v>42</v>
      </c>
      <c r="C3" s="6" t="s">
        <v>52</v>
      </c>
      <c r="D3" s="6" t="s">
        <v>43</v>
      </c>
      <c r="E3" s="6" t="s">
        <v>53</v>
      </c>
      <c r="F3" s="6" t="s">
        <v>65</v>
      </c>
      <c r="H3" s="6" t="s">
        <v>48</v>
      </c>
      <c r="I3" s="6" t="s">
        <v>49</v>
      </c>
      <c r="J3" s="6" t="s">
        <v>50</v>
      </c>
      <c r="K3" s="6" t="s">
        <v>51</v>
      </c>
    </row>
    <row r="4" spans="1:13" ht="43.8" thickBot="1" x14ac:dyDescent="0.35">
      <c r="A4" s="14" t="s">
        <v>55</v>
      </c>
      <c r="B4" s="10" t="s">
        <v>33</v>
      </c>
      <c r="C4" s="7" t="s">
        <v>58</v>
      </c>
      <c r="D4" s="8">
        <v>5</v>
      </c>
      <c r="E4" s="17">
        <f>IF(COUNTIF(H4:Z4,"*ABI*"),"Moyenne bloquée",AVERAGE(H4:Z4))</f>
        <v>10</v>
      </c>
      <c r="F4" s="24">
        <f>IF(COUNTIF(A45:A53,"*Moyenne bloquée*"),"Moyenne bloquée",SUM(A45:A53))</f>
        <v>14.929166666666667</v>
      </c>
      <c r="H4" s="18">
        <v>20</v>
      </c>
      <c r="I4" s="18">
        <v>3</v>
      </c>
      <c r="J4" s="18">
        <v>17</v>
      </c>
      <c r="K4" s="18">
        <v>0</v>
      </c>
      <c r="L4" s="29"/>
      <c r="M4" s="30"/>
    </row>
    <row r="5" spans="1:13" ht="29.4" thickBot="1" x14ac:dyDescent="0.35">
      <c r="A5" s="14" t="s">
        <v>55</v>
      </c>
      <c r="B5" s="11" t="s">
        <v>17</v>
      </c>
      <c r="C5" s="7" t="s">
        <v>59</v>
      </c>
      <c r="D5" s="8">
        <v>15</v>
      </c>
      <c r="E5" s="17">
        <f>IF(COUNTIF(H5:Z5,"*ABI*"),"Moyenne bloquée",AVERAGE(H5:Z5))</f>
        <v>14.75</v>
      </c>
      <c r="F5" s="25"/>
      <c r="H5" s="19">
        <v>16</v>
      </c>
      <c r="I5" s="19">
        <v>4</v>
      </c>
      <c r="J5" s="19">
        <v>19</v>
      </c>
      <c r="K5" s="19">
        <v>20</v>
      </c>
      <c r="L5" s="29"/>
      <c r="M5" s="30"/>
    </row>
    <row r="6" spans="1:13" ht="16.2" thickBot="1" x14ac:dyDescent="0.35">
      <c r="A6" s="14" t="s">
        <v>55</v>
      </c>
      <c r="B6" s="11" t="s">
        <v>19</v>
      </c>
      <c r="C6" s="6" t="s">
        <v>18</v>
      </c>
      <c r="D6" s="8">
        <v>15</v>
      </c>
      <c r="E6" s="17">
        <f>IF(COUNTIF(H6:Z6,"*ABI*"),"Moyenne bloquée",AVERAGE(H6:Z6))</f>
        <v>16</v>
      </c>
      <c r="F6" s="25"/>
      <c r="H6" s="19">
        <v>14</v>
      </c>
      <c r="I6" s="19">
        <v>20</v>
      </c>
      <c r="J6" s="19">
        <v>15</v>
      </c>
      <c r="K6" s="19">
        <v>15</v>
      </c>
      <c r="L6" s="29"/>
      <c r="M6" s="30"/>
    </row>
    <row r="7" spans="1:13" ht="29.4" thickBot="1" x14ac:dyDescent="0.35">
      <c r="A7" s="14" t="s">
        <v>55</v>
      </c>
      <c r="B7" s="11" t="s">
        <v>20</v>
      </c>
      <c r="C7" s="7" t="s">
        <v>60</v>
      </c>
      <c r="D7" s="8">
        <v>15</v>
      </c>
      <c r="E7" s="17">
        <f>IF(COUNTIF(H7:Z7,"*ABI*"),"Moyenne bloquée",AVERAGE(H7:Z7))</f>
        <v>18.75</v>
      </c>
      <c r="F7" s="25"/>
      <c r="H7" s="19">
        <v>15</v>
      </c>
      <c r="I7" s="19">
        <v>20</v>
      </c>
      <c r="J7" s="19">
        <v>20</v>
      </c>
      <c r="K7" s="19">
        <v>20</v>
      </c>
      <c r="L7" s="29"/>
      <c r="M7" s="30"/>
    </row>
    <row r="8" spans="1:13" ht="29.4" thickBot="1" x14ac:dyDescent="0.35">
      <c r="A8" s="14" t="s">
        <v>55</v>
      </c>
      <c r="B8" s="11" t="s">
        <v>22</v>
      </c>
      <c r="C8" s="7" t="s">
        <v>61</v>
      </c>
      <c r="D8" s="8">
        <v>10</v>
      </c>
      <c r="E8" s="17">
        <f>IF(COUNTIF(H8:Z8,"*ABI*"),"Moyenne bloquée",AVERAGE(H8:Z8))</f>
        <v>17</v>
      </c>
      <c r="F8" s="25"/>
      <c r="H8" s="19">
        <v>11</v>
      </c>
      <c r="I8" s="19">
        <v>20</v>
      </c>
      <c r="J8" s="19">
        <v>17</v>
      </c>
      <c r="K8" s="19">
        <v>20</v>
      </c>
      <c r="L8" s="29"/>
      <c r="M8" s="30"/>
    </row>
    <row r="9" spans="1:13" ht="43.8" thickBot="1" x14ac:dyDescent="0.35">
      <c r="A9" s="14" t="s">
        <v>55</v>
      </c>
      <c r="B9" s="10" t="s">
        <v>34</v>
      </c>
      <c r="C9" s="7" t="s">
        <v>62</v>
      </c>
      <c r="D9" s="8">
        <v>20</v>
      </c>
      <c r="E9" s="17">
        <f>IF(COUNTIF(H9:Z9,"*ABI*"),"Moyenne bloquée",AVERAGE(H9:Z9))</f>
        <v>15</v>
      </c>
      <c r="F9" s="25"/>
      <c r="H9" s="19">
        <v>8</v>
      </c>
      <c r="I9" s="19">
        <v>12</v>
      </c>
      <c r="J9" s="19">
        <v>20</v>
      </c>
      <c r="K9" s="19">
        <v>20</v>
      </c>
      <c r="L9" s="29"/>
      <c r="M9" s="30"/>
    </row>
    <row r="10" spans="1:13" ht="23.4" thickBot="1" x14ac:dyDescent="0.35">
      <c r="A10" s="14" t="s">
        <v>55</v>
      </c>
      <c r="B10" s="11" t="s">
        <v>35</v>
      </c>
      <c r="C10" s="6" t="s">
        <v>18</v>
      </c>
      <c r="D10" s="8">
        <v>10</v>
      </c>
      <c r="E10" s="17">
        <f>IF(COUNTIF(H10:Z10,"*ABI*"),"Moyenne bloquée",AVERAGE(H10:Z10))</f>
        <v>15</v>
      </c>
      <c r="F10" s="25"/>
      <c r="H10" s="19">
        <v>20</v>
      </c>
      <c r="I10" s="19">
        <v>20</v>
      </c>
      <c r="J10" s="19">
        <v>20</v>
      </c>
      <c r="K10" s="19">
        <v>0</v>
      </c>
      <c r="L10" s="29"/>
      <c r="M10" s="30"/>
    </row>
    <row r="11" spans="1:13" ht="43.8" thickBot="1" x14ac:dyDescent="0.35">
      <c r="A11" s="14" t="s">
        <v>55</v>
      </c>
      <c r="B11" s="10" t="s">
        <v>36</v>
      </c>
      <c r="C11" s="7" t="s">
        <v>64</v>
      </c>
      <c r="D11" s="8">
        <v>5</v>
      </c>
      <c r="E11" s="17">
        <f>IF(COUNTIF(H11:Z11,"*ABI*"),"Moyenne bloquée",AVERAGE(H11:Z11))</f>
        <v>9.75</v>
      </c>
      <c r="F11" s="25"/>
      <c r="H11" s="19">
        <v>19</v>
      </c>
      <c r="I11" s="19">
        <v>20</v>
      </c>
      <c r="J11" s="19">
        <v>0</v>
      </c>
      <c r="K11" s="19">
        <v>0</v>
      </c>
      <c r="L11" s="29"/>
      <c r="M11" s="30"/>
    </row>
    <row r="12" spans="1:13" ht="16.2" thickBot="1" x14ac:dyDescent="0.35">
      <c r="A12" s="14" t="s">
        <v>55</v>
      </c>
      <c r="B12" s="10" t="s">
        <v>37</v>
      </c>
      <c r="C12" s="6" t="s">
        <v>16</v>
      </c>
      <c r="D12" s="8">
        <v>5</v>
      </c>
      <c r="E12" s="17">
        <f>IF(COUNTIF(H12:Z12,"*ABI*"),"Moyenne bloquée",AVERAGE(H12:Z12))</f>
        <v>6.333333333333333</v>
      </c>
      <c r="F12" s="26"/>
      <c r="H12" s="19">
        <v>19</v>
      </c>
      <c r="I12" s="19">
        <v>0</v>
      </c>
      <c r="J12" s="19"/>
      <c r="K12" s="19">
        <v>0</v>
      </c>
      <c r="L12" s="29"/>
      <c r="M12" s="30"/>
    </row>
    <row r="13" spans="1:13" ht="15" thickBot="1" x14ac:dyDescent="0.35">
      <c r="E13" s="20"/>
      <c r="H13" s="20"/>
      <c r="I13" s="20"/>
      <c r="J13" s="21"/>
      <c r="K13" s="21"/>
    </row>
    <row r="14" spans="1:13" ht="43.8" thickBot="1" x14ac:dyDescent="0.35">
      <c r="A14" s="15" t="s">
        <v>56</v>
      </c>
      <c r="B14" s="10" t="s">
        <v>33</v>
      </c>
      <c r="C14" s="7" t="s">
        <v>58</v>
      </c>
      <c r="D14" s="8">
        <v>5</v>
      </c>
      <c r="E14" s="17">
        <f>IF(COUNTIF(H14:Z14,"*ABI*"),"Moyenne bloquée",AVERAGE(H14:Z14))</f>
        <v>10</v>
      </c>
      <c r="F14" s="24">
        <f>IF(COUNTIF(C45:C54,"*Moyenne bloquée*"),"Moyenne bloquée",SUM(C45:C54))</f>
        <v>9.4416666666666664</v>
      </c>
      <c r="H14" s="19">
        <v>20</v>
      </c>
      <c r="I14" s="19">
        <v>3</v>
      </c>
      <c r="J14" s="19">
        <v>17</v>
      </c>
      <c r="K14" s="19">
        <v>0</v>
      </c>
    </row>
    <row r="15" spans="1:13" ht="16.2" thickBot="1" x14ac:dyDescent="0.35">
      <c r="A15" s="15" t="s">
        <v>56</v>
      </c>
      <c r="B15" s="12" t="s">
        <v>23</v>
      </c>
      <c r="C15" s="6" t="s">
        <v>21</v>
      </c>
      <c r="D15" s="8">
        <v>10</v>
      </c>
      <c r="E15" s="17">
        <f>IF(COUNTIF(H15:Z15,"*ABI*"),"Moyenne bloquée",AVERAGE(H15:Z15))</f>
        <v>10.333333333333334</v>
      </c>
      <c r="F15" s="25"/>
      <c r="H15" s="19">
        <v>14</v>
      </c>
      <c r="I15" s="19">
        <v>15</v>
      </c>
      <c r="J15" s="19">
        <v>2</v>
      </c>
      <c r="K15" s="6"/>
    </row>
    <row r="16" spans="1:13" ht="16.2" thickBot="1" x14ac:dyDescent="0.35">
      <c r="A16" s="15" t="s">
        <v>56</v>
      </c>
      <c r="B16" s="12" t="s">
        <v>24</v>
      </c>
      <c r="C16" s="6" t="s">
        <v>25</v>
      </c>
      <c r="D16" s="8">
        <v>15</v>
      </c>
      <c r="E16" s="17">
        <f>IF(COUNTIF(H16:Z16,"*ABI*"),"Moyenne bloquée",AVERAGE(H16:Z16))</f>
        <v>8.6666666666666661</v>
      </c>
      <c r="F16" s="25"/>
      <c r="H16" s="19">
        <v>12</v>
      </c>
      <c r="I16" s="19">
        <v>14</v>
      </c>
      <c r="J16" s="19">
        <v>0</v>
      </c>
      <c r="K16" s="6"/>
    </row>
    <row r="17" spans="1:11" ht="16.2" thickBot="1" x14ac:dyDescent="0.35">
      <c r="A17" s="15" t="s">
        <v>56</v>
      </c>
      <c r="B17" s="12" t="s">
        <v>26</v>
      </c>
      <c r="C17" s="6" t="s">
        <v>21</v>
      </c>
      <c r="D17" s="8">
        <v>15</v>
      </c>
      <c r="E17" s="17">
        <f>IF(COUNTIF(H17:Z17,"*ABI*"),"Moyenne bloquée",AVERAGE(H17:Z17))</f>
        <v>11.5</v>
      </c>
      <c r="F17" s="25"/>
      <c r="H17" s="19">
        <v>16</v>
      </c>
      <c r="I17" s="19">
        <v>4</v>
      </c>
      <c r="J17" s="19">
        <v>14</v>
      </c>
      <c r="K17" s="6">
        <v>12</v>
      </c>
    </row>
    <row r="18" spans="1:11" ht="16.2" thickBot="1" x14ac:dyDescent="0.35">
      <c r="A18" s="15" t="s">
        <v>56</v>
      </c>
      <c r="B18" s="12" t="s">
        <v>27</v>
      </c>
      <c r="C18" s="6" t="s">
        <v>21</v>
      </c>
      <c r="D18" s="8">
        <v>15</v>
      </c>
      <c r="E18" s="17">
        <f>IF(COUNTIF(H18:Z18,"*ABI*"),"Moyenne bloquée",AVERAGE(H18:Z18))</f>
        <v>11.5</v>
      </c>
      <c r="F18" s="25"/>
      <c r="H18" s="19">
        <v>9</v>
      </c>
      <c r="I18" s="19">
        <v>13</v>
      </c>
      <c r="J18" s="19">
        <v>12</v>
      </c>
      <c r="K18" s="6">
        <v>12</v>
      </c>
    </row>
    <row r="19" spans="1:11" ht="43.8" thickBot="1" x14ac:dyDescent="0.35">
      <c r="A19" s="15" t="s">
        <v>56</v>
      </c>
      <c r="B19" s="10" t="s">
        <v>34</v>
      </c>
      <c r="C19" s="7" t="s">
        <v>62</v>
      </c>
      <c r="D19" s="8">
        <v>10</v>
      </c>
      <c r="E19" s="17">
        <f>IF(COUNTIF(H19:Z19,"*ABI*"),"Moyenne bloquée",AVERAGE(H19:Z19))</f>
        <v>10.25</v>
      </c>
      <c r="F19" s="25"/>
      <c r="H19" s="19">
        <v>12</v>
      </c>
      <c r="I19" s="19">
        <v>0</v>
      </c>
      <c r="J19" s="19">
        <v>18</v>
      </c>
      <c r="K19" s="6">
        <v>11</v>
      </c>
    </row>
    <row r="20" spans="1:11" ht="16.2" thickBot="1" x14ac:dyDescent="0.35">
      <c r="A20" s="15" t="s">
        <v>56</v>
      </c>
      <c r="B20" s="12" t="s">
        <v>38</v>
      </c>
      <c r="C20" s="6" t="s">
        <v>25</v>
      </c>
      <c r="D20" s="8">
        <v>10</v>
      </c>
      <c r="E20" s="17">
        <f>IF(COUNTIF(H20:Z20,"*ABI*"),"Moyenne bloquée",AVERAGE(H20:Z20))</f>
        <v>4.75</v>
      </c>
      <c r="F20" s="25"/>
      <c r="H20" s="19">
        <v>19</v>
      </c>
      <c r="I20" s="19">
        <v>0</v>
      </c>
      <c r="J20" s="19">
        <v>0</v>
      </c>
      <c r="K20" s="6">
        <v>0</v>
      </c>
    </row>
    <row r="21" spans="1:11" ht="23.4" thickBot="1" x14ac:dyDescent="0.35">
      <c r="A21" s="15" t="s">
        <v>56</v>
      </c>
      <c r="B21" s="12" t="s">
        <v>39</v>
      </c>
      <c r="C21" s="6" t="s">
        <v>21</v>
      </c>
      <c r="D21" s="8">
        <v>10</v>
      </c>
      <c r="E21" s="17">
        <f>IF(COUNTIF(H21:Z21,"*ABI*"),"Moyenne bloquée",AVERAGE(H21:Z21))</f>
        <v>8.5</v>
      </c>
      <c r="F21" s="25"/>
      <c r="H21" s="19">
        <v>20</v>
      </c>
      <c r="I21" s="19">
        <v>10</v>
      </c>
      <c r="J21" s="19">
        <v>4</v>
      </c>
      <c r="K21" s="6">
        <v>0</v>
      </c>
    </row>
    <row r="22" spans="1:11" ht="43.8" thickBot="1" x14ac:dyDescent="0.35">
      <c r="A22" s="15" t="s">
        <v>56</v>
      </c>
      <c r="B22" s="10" t="s">
        <v>36</v>
      </c>
      <c r="C22" s="7" t="s">
        <v>64</v>
      </c>
      <c r="D22" s="8">
        <v>5</v>
      </c>
      <c r="E22" s="17">
        <f>IF(COUNTIF(H22:Z22,"*ABI*"),"Moyenne bloquée",AVERAGE(H22:Z22))</f>
        <v>7</v>
      </c>
      <c r="F22" s="25"/>
      <c r="H22" s="19">
        <v>9</v>
      </c>
      <c r="I22" s="19">
        <v>0</v>
      </c>
      <c r="J22" s="19"/>
      <c r="K22" s="6">
        <v>12</v>
      </c>
    </row>
    <row r="23" spans="1:11" ht="16.2" thickBot="1" x14ac:dyDescent="0.35">
      <c r="A23" s="15" t="s">
        <v>56</v>
      </c>
      <c r="B23" s="10" t="s">
        <v>37</v>
      </c>
      <c r="C23" s="6" t="s">
        <v>16</v>
      </c>
      <c r="D23" s="8">
        <v>5</v>
      </c>
      <c r="E23" s="17">
        <f>IF(COUNTIF(H23:Z23,"*ABI*"),"Moyenne bloquée",AVERAGE(H23:Z23))</f>
        <v>9.1666666666666661</v>
      </c>
      <c r="F23" s="26"/>
      <c r="H23" s="19">
        <v>14.5</v>
      </c>
      <c r="I23" s="19">
        <v>1</v>
      </c>
      <c r="J23" s="19">
        <v>12</v>
      </c>
      <c r="K23" s="6"/>
    </row>
    <row r="24" spans="1:11" ht="15" thickBot="1" x14ac:dyDescent="0.35">
      <c r="E24" s="21"/>
      <c r="H24" s="20"/>
      <c r="I24" s="20"/>
      <c r="J24" s="21"/>
      <c r="K24" s="21"/>
    </row>
    <row r="25" spans="1:11" ht="43.8" thickBot="1" x14ac:dyDescent="0.35">
      <c r="A25" s="15" t="s">
        <v>57</v>
      </c>
      <c r="B25" s="10" t="s">
        <v>33</v>
      </c>
      <c r="C25" s="7" t="s">
        <v>58</v>
      </c>
      <c r="D25" s="8">
        <v>5</v>
      </c>
      <c r="E25" s="17">
        <f>IF(COUNTIF(H25:Z25,"*ABI*"),"Moyenne bloquée",AVERAGE(H25:Z25))</f>
        <v>10</v>
      </c>
      <c r="F25" s="24" t="str">
        <f>IF(COUNTIF(E45:E52,"*Moyenne bloquée*"),"Moyenne bloquée",SUM(E45:E52))</f>
        <v>Moyenne bloquée</v>
      </c>
      <c r="H25" s="19">
        <v>20</v>
      </c>
      <c r="I25" s="19">
        <v>3</v>
      </c>
      <c r="J25" s="19">
        <v>17</v>
      </c>
      <c r="K25" s="19">
        <v>0</v>
      </c>
    </row>
    <row r="26" spans="1:11" ht="23.4" thickBot="1" x14ac:dyDescent="0.35">
      <c r="A26" s="15" t="s">
        <v>57</v>
      </c>
      <c r="B26" s="13" t="s">
        <v>28</v>
      </c>
      <c r="C26" s="6" t="s">
        <v>29</v>
      </c>
      <c r="D26" s="8">
        <v>15</v>
      </c>
      <c r="E26" s="17">
        <f>IF(COUNTIF(H26:Z26,"*ABI*"),"Moyenne bloquée",AVERAGE(H26:Z26))</f>
        <v>13.75</v>
      </c>
      <c r="F26" s="25"/>
      <c r="H26" s="19">
        <v>8</v>
      </c>
      <c r="I26" s="19">
        <v>12</v>
      </c>
      <c r="J26" s="19">
        <v>15</v>
      </c>
      <c r="K26" s="19">
        <v>20</v>
      </c>
    </row>
    <row r="27" spans="1:11" ht="16.2" thickBot="1" x14ac:dyDescent="0.35">
      <c r="A27" s="15" t="s">
        <v>57</v>
      </c>
      <c r="B27" s="13" t="s">
        <v>40</v>
      </c>
      <c r="C27" s="6" t="s">
        <v>16</v>
      </c>
      <c r="D27" s="8">
        <v>15</v>
      </c>
      <c r="E27" s="17">
        <f>IF(COUNTIF(H27:Z27,"*ABI*"),"Moyenne bloquée",AVERAGE(H27:Z27))</f>
        <v>15.25</v>
      </c>
      <c r="F27" s="25"/>
      <c r="H27" s="19">
        <v>4</v>
      </c>
      <c r="I27" s="19">
        <v>20</v>
      </c>
      <c r="J27" s="19">
        <v>17</v>
      </c>
      <c r="K27" s="19">
        <v>20</v>
      </c>
    </row>
    <row r="28" spans="1:11" ht="29.4" thickBot="1" x14ac:dyDescent="0.35">
      <c r="A28" s="15" t="s">
        <v>57</v>
      </c>
      <c r="B28" s="13" t="s">
        <v>30</v>
      </c>
      <c r="C28" s="7" t="s">
        <v>63</v>
      </c>
      <c r="D28" s="8">
        <v>25</v>
      </c>
      <c r="E28" s="17">
        <f>IF(COUNTIF(H28:Z28,"*ABI*"),"Moyenne bloquée",AVERAGE(H28:Z28))</f>
        <v>13.25</v>
      </c>
      <c r="F28" s="25"/>
      <c r="H28" s="19">
        <v>15</v>
      </c>
      <c r="I28" s="19">
        <v>12</v>
      </c>
      <c r="J28" s="19">
        <v>6</v>
      </c>
      <c r="K28" s="19">
        <v>20</v>
      </c>
    </row>
    <row r="29" spans="1:11" ht="43.8" thickBot="1" x14ac:dyDescent="0.35">
      <c r="A29" s="15" t="s">
        <v>57</v>
      </c>
      <c r="B29" s="10" t="s">
        <v>34</v>
      </c>
      <c r="C29" s="7" t="s">
        <v>62</v>
      </c>
      <c r="D29" s="8">
        <v>20</v>
      </c>
      <c r="E29" s="17">
        <f>IF(COUNTIF(H29:Z29,"*ABI*"),"Moyenne bloquée",AVERAGE(H29:Z29))</f>
        <v>12.25</v>
      </c>
      <c r="F29" s="25"/>
      <c r="H29" s="19">
        <v>17</v>
      </c>
      <c r="I29" s="19">
        <v>0</v>
      </c>
      <c r="J29" s="19">
        <v>12</v>
      </c>
      <c r="K29" s="19">
        <v>20</v>
      </c>
    </row>
    <row r="30" spans="1:11" ht="23.4" thickBot="1" x14ac:dyDescent="0.35">
      <c r="A30" s="15" t="s">
        <v>57</v>
      </c>
      <c r="B30" s="13" t="s">
        <v>41</v>
      </c>
      <c r="C30" s="6" t="s">
        <v>32</v>
      </c>
      <c r="D30" s="8">
        <v>10</v>
      </c>
      <c r="E30" s="17">
        <f>IF(COUNTIF(H30:Z30,"*ABI*"),"Moyenne bloquée",AVERAGE(H30:Z30))</f>
        <v>12.75</v>
      </c>
      <c r="F30" s="25"/>
      <c r="H30" s="19">
        <v>12</v>
      </c>
      <c r="I30" s="19">
        <v>19</v>
      </c>
      <c r="J30" s="19">
        <v>0</v>
      </c>
      <c r="K30" s="19">
        <v>20</v>
      </c>
    </row>
    <row r="31" spans="1:11" ht="43.8" thickBot="1" x14ac:dyDescent="0.35">
      <c r="A31" s="15" t="s">
        <v>57</v>
      </c>
      <c r="B31" s="10" t="s">
        <v>36</v>
      </c>
      <c r="C31" s="7" t="s">
        <v>64</v>
      </c>
      <c r="D31" s="8">
        <v>5</v>
      </c>
      <c r="E31" s="17" t="str">
        <f>IF(COUNTIF(H31:Z31,"*ABI*"),"Moyenne bloquée",AVERAGE(H31:Z31))</f>
        <v>Moyenne bloquée</v>
      </c>
      <c r="F31" s="25"/>
      <c r="H31" s="19">
        <v>3</v>
      </c>
      <c r="I31" s="19">
        <v>9</v>
      </c>
      <c r="J31" s="19" t="s">
        <v>66</v>
      </c>
      <c r="K31" s="19">
        <v>20</v>
      </c>
    </row>
    <row r="32" spans="1:11" ht="16.2" thickBot="1" x14ac:dyDescent="0.35">
      <c r="A32" s="15" t="s">
        <v>57</v>
      </c>
      <c r="B32" s="10" t="s">
        <v>37</v>
      </c>
      <c r="C32" s="6" t="s">
        <v>16</v>
      </c>
      <c r="D32" s="8">
        <v>5</v>
      </c>
      <c r="E32" s="17">
        <f>IF(COUNTIF(H32:Z32,"*ABI*"),"Moyenne bloquée",AVERAGE(H32:Z32))</f>
        <v>12.75</v>
      </c>
      <c r="F32" s="26"/>
      <c r="H32" s="19">
        <v>17</v>
      </c>
      <c r="I32" s="19">
        <v>14</v>
      </c>
      <c r="J32" s="19">
        <v>0</v>
      </c>
      <c r="K32" s="19">
        <v>20</v>
      </c>
    </row>
    <row r="33" spans="1:19" ht="15" thickBot="1" x14ac:dyDescent="0.35">
      <c r="K33" s="28"/>
    </row>
    <row r="34" spans="1:19" ht="78.599999999999994" thickBot="1" x14ac:dyDescent="0.35">
      <c r="A34" s="27" t="s">
        <v>75</v>
      </c>
      <c r="B34" s="19">
        <v>3</v>
      </c>
      <c r="C34" s="31"/>
      <c r="D34" s="31"/>
      <c r="E34" s="31"/>
      <c r="F34" s="31"/>
      <c r="G34" s="31"/>
      <c r="H34" s="31"/>
      <c r="I34" s="31"/>
      <c r="J34" s="31"/>
      <c r="K34" s="28"/>
    </row>
    <row r="35" spans="1:19" ht="47.4" thickBot="1" x14ac:dyDescent="0.35">
      <c r="A35" s="27" t="s">
        <v>68</v>
      </c>
      <c r="B35" s="19">
        <f>Semestre1!B25+Semestre2!B34</f>
        <v>7</v>
      </c>
      <c r="C35" s="31"/>
      <c r="D35" s="31"/>
      <c r="E35" s="31"/>
      <c r="F35" s="31"/>
      <c r="G35" s="31"/>
      <c r="H35" s="31"/>
      <c r="I35" s="31"/>
      <c r="J35" s="31"/>
    </row>
    <row r="36" spans="1:19" ht="15" thickBot="1" x14ac:dyDescent="0.35">
      <c r="C36" s="31"/>
      <c r="D36" s="31"/>
      <c r="E36" s="31"/>
      <c r="F36" s="31"/>
      <c r="G36" s="31"/>
      <c r="H36" s="31"/>
      <c r="I36" s="31"/>
      <c r="J36" s="31"/>
    </row>
    <row r="37" spans="1:19" ht="31.8" thickBot="1" x14ac:dyDescent="0.35">
      <c r="A37" s="27" t="s">
        <v>69</v>
      </c>
      <c r="B37" s="19">
        <v>14</v>
      </c>
      <c r="C37" s="33"/>
      <c r="D37" s="33"/>
      <c r="E37" s="33" t="s">
        <v>72</v>
      </c>
      <c r="F37" s="33" t="s">
        <v>74</v>
      </c>
      <c r="G37" s="33" t="str">
        <f>IF(AND((H53&gt;10)+(H54&gt;10)+(H55&gt;10)&gt;=2,(H53&lt;8)+(H54&lt;8)+(H55&lt;8)=0),"oui","non")</f>
        <v>oui</v>
      </c>
      <c r="H37" s="33" t="s">
        <v>73</v>
      </c>
      <c r="I37" s="33"/>
      <c r="J37" s="33"/>
      <c r="K37" s="33"/>
      <c r="L37" s="33"/>
    </row>
    <row r="38" spans="1:19" x14ac:dyDescent="0.3">
      <c r="C38" s="33"/>
      <c r="D38" s="33"/>
      <c r="E38" s="34">
        <f>IF(COUNTIF(A45:A53,"Moyenne bloquée")&gt;0,"Moyenne bloquée",IF(B35&lt;5,IF(COUNTIF(A45:A53,"*Moyenne bloquée*"),"Moyenne bloquée",SUM(A45:A53)),IF(COUNTIF(A45:A53,"*Moyenne bloquée*"),"Moyenne bloquée",SUM(A45:A53))-((B35-5)*0.2)))</f>
        <v>14.529166666666667</v>
      </c>
      <c r="F38" s="34">
        <f>IF(B37="Pas de bonifiant",IF(B35&lt;6,IF(COUNTIF(A45:A53,"*Moyenne bloquée*"),"Moyenne bloquée",SUM(A45:A53)),IF(COUNTIF(A45:A53,"*Moyenne bloquée*"),"Moyenne bloquée",SUM(A45:A53))-((B35-5)*0.2)),IF(B37&gt;10,IF(B35&lt;6,IF(COUNTIF(A45:A53,"*Moyenne bloquée*"),"Moyenne bloquée",SUM(A45:A53)),IF(COUNTIF(A45:A53,"*Moyenne bloquée*"),"Moyenne bloquée",SUM(A45:A53))-((B35-5)*0.2))+(ROUNDUP(B37,0)-10)*0.05,IF(B35&lt;6,IF(COUNTIF(A45:A53,"*Moyenne bloquée*"),"Moyenne bloquée",SUM(A45:A53)),IF(COUNTIF(A45:A53,"*Moyenne bloquée*"),"Moyenne bloquée",SUM(A45:A53))-((B35-5)*0.2))))</f>
        <v>14.729166666666666</v>
      </c>
      <c r="G38" s="33"/>
      <c r="H38" s="35">
        <f>IF(COUNTIF(A45:A53,"Moyenne bloquée")&gt;0,"Moyenne bloquée",IF(B37="Pas de bonifiant",IF(B35&lt;6,IF(COUNTIF(A45:A53,"*Moyenne bloquée*"),"Moyenne bloquée",SUM(A45:A53)),IF(COUNTIF(A45:A53,"*Moyenne bloquée*"),"Moyenne bloquée",SUM(A45:A53))-((B35-5)*0.2)),IF(B37&gt;10,IF(B35&lt;6,IF(COUNTIF(A45:A53,"*Moyenne bloquée*"),"Moyenne bloquée",SUM(A45:A53)),IF(COUNTIF(A45:A53,"*Moyenne bloquée*"),"Moyenne bloquée",SUM(A45:A53))-((B35-5)*0.2))+(ROUNDUP(B37,0)-10)*0.05,IF(B35&lt;6,IF(COUNTIF(A45:A53,"*Moyenne bloquée*"),"Moyenne bloquée",SUM(A45:A53)),IF(COUNTIF(A45:A53,"*Moyenne bloquée*"),"Moyenne bloquée",SUM(A45:A53))-((B35-5)*0.2)))))</f>
        <v>14.729166666666666</v>
      </c>
      <c r="I38" s="33"/>
      <c r="J38" s="33"/>
      <c r="K38" s="33"/>
      <c r="L38" s="33"/>
    </row>
    <row r="39" spans="1:19" ht="14.4" customHeight="1" x14ac:dyDescent="0.3">
      <c r="A39" s="31"/>
      <c r="B39" s="31"/>
      <c r="C39" s="33"/>
      <c r="D39" s="33"/>
      <c r="E39" s="34">
        <f>IF(COUNTIF(C45:C54,"Moyenne bloquée")&gt;0,"Moyenne bloquée",IF(B35&lt;5,IF(COUNTIF(C45:C54,"*Moyenne bloquée*"),"Moyenne bloquée",SUM(C45:C54)),IF(COUNTIF(C45:C54,"*Moyenne bloquée*"),"Moyenne bloquée",SUM(C45:C54))-((B35-5)*0.2)))</f>
        <v>9.0416666666666661</v>
      </c>
      <c r="F39" s="34">
        <f>IF(B37="Pas de bonifiant",IF(B35&lt;6,IF(COUNTIF(C45:C54,"*Moyenne bloquée*"),"Moyenne bloquée",SUM(C45:C54)),IF(COUNTIF(C45:C54,"*Moyenne bloquée*"),"Moyenne bloquée",SUM(C45:C54))-((B35-5)*0.2)),IF(B37&gt;10,IF(B35&lt;6,IF(COUNTIF(C45:C54,"*Moyenne bloquée*"),"Moyenne bloquée",SUM(C45:C54)),IF(COUNTIF(C45:C54,"*Moyenne bloquée*"),"Moyenne bloquée",SUM(C45:C54))-((B35-5)*0.2))+(ROUNDUP(B37,0)-10)*0.05,IF(B35&lt;6,IF(COUNTIF(C45:C54,"*Moyenne bloquée*"),"Moyenne bloquée",SUM(C45:C54)),IF(COUNTIF(C45:C54,"*Moyenne bloquée*"),"Moyenne bloquée",SUM(C45:C54))-((B35-5)*0.2))))</f>
        <v>9.2416666666666654</v>
      </c>
      <c r="G39" s="33"/>
      <c r="H39" s="34">
        <f>IF(COUNTIF(C45:C54,"Moyenne bloquée")&gt;0,"Moyenne bloquée",IF(B37="Pas de bonifiant",IF(B35&lt;6,IF(COUNTIF(C45:C54,"*Moyenne bloquée*"),"Moyenne bloquée",SUM(C45:C54)),IF(COUNTIF(C45:C54,"*Moyenne bloquée*"),"Moyenne bloquée",SUM(C45:C54))-((B35-5)*0.2)),IF(B37&gt;10,IF(B35&lt;6,IF(COUNTIF(C45:C54,"*Moyenne bloquée*"),"Moyenne bloquée",SUM(C45:C54)),IF(COUNTIF(C45:C54,"*Moyenne bloquée*"),"Moyenne bloquée",SUM(C45:C54))-((B35-5)*0.2))+(ROUNDUP(B37,0)-10)*0.05,IF(B35&lt;6,IF(COUNTIF(C45:C54,"*Moyenne bloquée*"),"Moyenne bloquée",SUM(C45:C54)),IF(COUNTIF(C45:C54,"*Moyenne bloquée*"),"Moyenne bloquée",SUM(C45:C54))-((B35-5)*0.2)))))</f>
        <v>9.2416666666666654</v>
      </c>
      <c r="I39" s="33"/>
      <c r="J39" s="33"/>
      <c r="K39" s="33"/>
      <c r="L39" s="33"/>
      <c r="M39" s="31"/>
      <c r="N39" s="31"/>
      <c r="O39" s="31"/>
      <c r="P39" s="31"/>
      <c r="Q39" s="31"/>
      <c r="R39" s="31"/>
      <c r="S39" s="31"/>
    </row>
    <row r="40" spans="1:19" x14ac:dyDescent="0.3">
      <c r="A40" s="31"/>
      <c r="B40" s="31"/>
      <c r="C40" s="33"/>
      <c r="D40" s="33"/>
      <c r="E40" s="34" t="str">
        <f>IF(COUNTIF(E45:E52,"Moyenne bloquée")&gt;0,"Moyenne bloquée",IF(B35&lt;5,IF(COUNTIF(E45:E52,"*Moyenne bloquée*"),"Moyenne bloquée",SUM(E45:E52)),IF(COUNTIF(E45:E52,"*Moyenne bloquée*"),"Moyenne bloquée",SUM(E45:E52))-((B35-5)*0.2)))</f>
        <v>Moyenne bloquée</v>
      </c>
      <c r="F40" s="34" t="e">
        <f>IF(B37="Pas de bonifiant",IF(B35&lt;6,IF(COUNTIF(E45:E52,"*Moyenne bloquée*"),"Moyenne bloquée",SUM(E45:E52)),IF(COUNTIF(E45:E52,"*Moyenne bloquée*"),"Moyenne bloquée",SUM(E45:E52))-((B35-5)*0.2)),IF(B37&gt;10,IF(B35&lt;6,IF(COUNTIF(E45:E52,"*Moyenne bloquée*"),"Moyenne bloquée",SUM(E45:E52)),IF(COUNTIF(E45:E52,"*Moyenne bloquée*"),"Moyenne bloquée",SUM(E45:E52))-((B35-5)*0.2))+(ROUNDUP(B37,0)-10)*0.05,IF(B35&lt;6,IF(COUNTIF(E45:E52,"*Moyenne bloquée*"),"Moyenne bloquée",SUM(E45:E52)),IF(COUNTIF(E45:E52,"*Moyenne bloquée*"),"Moyenne bloquée",SUM(E45:E52))-((B35-5)*0.2))))</f>
        <v>#VALUE!</v>
      </c>
      <c r="G40" s="33"/>
      <c r="H40" s="34" t="str">
        <f>IF(COUNTIF(E45:E52,"Moyenne bloquée")&gt;0,"Moyenne bloquée",IF(B37="Pas de bonifiant",IF(B35&lt;6,IF(COUNTIF(E45:E52,"*Moyenne bloquée*"),"Moyenne bloquée",SUM(E45:E52)),IF(COUNTIF(E45:E52,"*Moyenne bloquée*"),"Moyenne bloquée",SUM(E45:E52))-((B35-5)*0.2)),IF(B37&gt;10,IF(B35&lt;6,IF(COUNTIF(E45:E52,"*Moyenne bloquée*"),"Moyenne bloquée",SUM(E45:E52)),IF(COUNTIF(E45:E52,"*Moyenne bloquée*"),"Moyenne bloquée",SUM(E45:E52))-((B35-5)*0.2))+(ROUNDUP(B37,0)-10)*0.05,IF(B35&lt;6,IF(COUNTIF(E45:E52,"*Moyenne bloquée*"),"Moyenne bloquée",SUM(E45:E52)),IF(COUNTIF(E45:E52,"*Moyenne bloquée*"),"Moyenne bloquée",SUM(E45:E52))-((B35-5)*0.2)))))</f>
        <v>Moyenne bloquée</v>
      </c>
      <c r="I40" s="33"/>
      <c r="J40" s="33"/>
      <c r="K40" s="33"/>
      <c r="L40" s="33"/>
      <c r="M40" s="31"/>
      <c r="N40" s="31"/>
      <c r="O40" s="31"/>
      <c r="P40" s="31"/>
      <c r="Q40" s="31"/>
      <c r="R40" s="31"/>
      <c r="S40" s="31"/>
    </row>
    <row r="41" spans="1:19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1"/>
      <c r="N41" s="31"/>
      <c r="O41" s="31"/>
      <c r="P41" s="31"/>
      <c r="Q41" s="31"/>
      <c r="R41" s="31"/>
      <c r="S41" s="31"/>
    </row>
    <row r="42" spans="1:19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1"/>
      <c r="N42" s="31"/>
      <c r="O42" s="31"/>
      <c r="P42" s="31"/>
      <c r="Q42" s="31"/>
      <c r="R42" s="31"/>
      <c r="S42" s="31"/>
    </row>
    <row r="43" spans="1:19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1"/>
      <c r="N43" s="31"/>
      <c r="O43" s="31"/>
      <c r="P43" s="31"/>
      <c r="Q43" s="31"/>
      <c r="R43" s="31"/>
      <c r="S43" s="31"/>
    </row>
    <row r="44" spans="1:19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1"/>
      <c r="N44" s="31"/>
      <c r="O44" s="31"/>
      <c r="P44" s="31"/>
      <c r="Q44" s="31"/>
      <c r="R44" s="31"/>
      <c r="S44" s="31"/>
    </row>
    <row r="45" spans="1:19" x14ac:dyDescent="0.3">
      <c r="A45" s="33">
        <f>IF(COUNTIF(E4,"*Moyenne bloquée*"),"Moyenne bloquée",D4*E4/100)</f>
        <v>0.5</v>
      </c>
      <c r="B45" s="33"/>
      <c r="C45" s="33">
        <f>IF(COUNTIF(E14,"*Moyenne bloquée*"),"Moyenne bloquée",D14*E14/100)</f>
        <v>0.5</v>
      </c>
      <c r="D45" s="33"/>
      <c r="E45" s="33">
        <f>IF(COUNTIF(E25,"*Moyenne bloquée*"),"Moyenne bloquée",D25*E25/100)</f>
        <v>0.5</v>
      </c>
      <c r="F45" s="33"/>
      <c r="G45" s="33"/>
      <c r="H45" s="33"/>
      <c r="I45" s="33"/>
      <c r="J45" s="33"/>
      <c r="K45" s="33"/>
      <c r="L45" s="33"/>
      <c r="M45" s="31"/>
      <c r="N45" s="31"/>
      <c r="O45" s="31"/>
      <c r="P45" s="31"/>
      <c r="Q45" s="31"/>
      <c r="R45" s="31"/>
      <c r="S45" s="31"/>
    </row>
    <row r="46" spans="1:19" x14ac:dyDescent="0.3">
      <c r="A46" s="33">
        <f t="shared" ref="A46:A53" si="0">IF(COUNTIF(E5,"*Moyenne bloquée*"),"Moyenne bloquée",D5*E5/100)</f>
        <v>2.2124999999999999</v>
      </c>
      <c r="B46" s="33"/>
      <c r="C46" s="33">
        <f t="shared" ref="C46:C54" si="1">IF(COUNTIF(E15,"*Moyenne bloquée*"),"Moyenne bloquée",D15*E15/100)</f>
        <v>1.0333333333333334</v>
      </c>
      <c r="D46" s="33"/>
      <c r="E46" s="33">
        <f t="shared" ref="E46:E52" si="2">IF(COUNTIF(E26,"*Moyenne bloquée*"),"Moyenne bloquée",D26*E26/100)</f>
        <v>2.0625</v>
      </c>
      <c r="F46" s="33"/>
      <c r="G46" s="33"/>
      <c r="H46" s="33"/>
      <c r="I46" s="33"/>
      <c r="J46" s="33"/>
      <c r="K46" s="33"/>
      <c r="L46" s="33"/>
      <c r="M46" s="31"/>
      <c r="N46" s="31"/>
      <c r="O46" s="31"/>
      <c r="P46" s="31"/>
      <c r="Q46" s="31"/>
      <c r="R46" s="31"/>
      <c r="S46" s="31"/>
    </row>
    <row r="47" spans="1:19" x14ac:dyDescent="0.3">
      <c r="A47" s="33">
        <f t="shared" si="0"/>
        <v>2.4</v>
      </c>
      <c r="B47" s="33"/>
      <c r="C47" s="33">
        <f t="shared" si="1"/>
        <v>1.3</v>
      </c>
      <c r="D47" s="33"/>
      <c r="E47" s="33">
        <f t="shared" si="2"/>
        <v>2.2875000000000001</v>
      </c>
      <c r="F47" s="33"/>
      <c r="G47" s="33"/>
      <c r="H47" s="33"/>
      <c r="I47" s="33" t="str">
        <f>IF(AND(G37="oui",Semestre1!G32="oui"),"Vous passez en deuxième année","Vous ne passez pas en deuxième année")</f>
        <v>Vous passez en deuxième année</v>
      </c>
      <c r="J47" s="33"/>
      <c r="K47" s="33"/>
      <c r="L47" s="33"/>
      <c r="M47" s="31"/>
      <c r="N47" s="31"/>
      <c r="O47" s="31"/>
      <c r="P47" s="31"/>
      <c r="Q47" s="31"/>
      <c r="R47" s="31"/>
      <c r="S47" s="31"/>
    </row>
    <row r="48" spans="1:19" x14ac:dyDescent="0.3">
      <c r="A48" s="33">
        <f t="shared" si="0"/>
        <v>2.8125</v>
      </c>
      <c r="B48" s="33"/>
      <c r="C48" s="33">
        <f t="shared" si="1"/>
        <v>1.7250000000000001</v>
      </c>
      <c r="D48" s="33"/>
      <c r="E48" s="33">
        <f t="shared" si="2"/>
        <v>3.3125</v>
      </c>
      <c r="F48" s="33"/>
      <c r="G48" s="33"/>
      <c r="H48" s="33"/>
      <c r="I48" s="33"/>
      <c r="J48" s="33"/>
      <c r="K48" s="33"/>
      <c r="L48" s="33"/>
      <c r="M48" s="31"/>
      <c r="N48" s="31"/>
      <c r="O48" s="31"/>
      <c r="P48" s="31"/>
      <c r="Q48" s="31"/>
      <c r="R48" s="31"/>
      <c r="S48" s="31"/>
    </row>
    <row r="49" spans="1:19" x14ac:dyDescent="0.3">
      <c r="A49" s="33">
        <f t="shared" si="0"/>
        <v>1.7</v>
      </c>
      <c r="B49" s="33"/>
      <c r="C49" s="33">
        <f t="shared" si="1"/>
        <v>1.7250000000000001</v>
      </c>
      <c r="D49" s="33"/>
      <c r="E49" s="33">
        <f t="shared" si="2"/>
        <v>2.4500000000000002</v>
      </c>
      <c r="F49" s="33"/>
      <c r="G49" s="33"/>
      <c r="H49" s="33"/>
      <c r="I49" s="33"/>
      <c r="J49" s="33"/>
      <c r="K49" s="33"/>
      <c r="L49" s="33"/>
      <c r="M49" s="31"/>
      <c r="N49" s="31"/>
      <c r="O49" s="31"/>
      <c r="P49" s="31"/>
      <c r="Q49" s="31"/>
      <c r="R49" s="31"/>
      <c r="S49" s="31"/>
    </row>
    <row r="50" spans="1:19" x14ac:dyDescent="0.3">
      <c r="A50" s="33">
        <f>IF(COUNTIF(E9,"*Moyenne bloquée*"),"Moyenne bloquée",D9*E9/100)</f>
        <v>3</v>
      </c>
      <c r="B50" s="33"/>
      <c r="C50" s="33">
        <f t="shared" si="1"/>
        <v>1.0249999999999999</v>
      </c>
      <c r="D50" s="33"/>
      <c r="E50" s="33">
        <f t="shared" si="2"/>
        <v>1.2749999999999999</v>
      </c>
      <c r="F50" s="33"/>
      <c r="G50" s="33"/>
      <c r="H50" s="33"/>
      <c r="I50" s="33"/>
      <c r="J50" s="33"/>
      <c r="K50" s="33"/>
      <c r="L50" s="33"/>
      <c r="M50" s="31"/>
      <c r="N50" s="31"/>
      <c r="O50" s="31"/>
      <c r="P50" s="31"/>
      <c r="Q50" s="31"/>
      <c r="R50" s="31"/>
      <c r="S50" s="31"/>
    </row>
    <row r="51" spans="1:19" x14ac:dyDescent="0.3">
      <c r="A51" s="33">
        <f t="shared" si="0"/>
        <v>1.5</v>
      </c>
      <c r="B51" s="33"/>
      <c r="C51" s="33">
        <f t="shared" si="1"/>
        <v>0.47499999999999998</v>
      </c>
      <c r="D51" s="33"/>
      <c r="E51" s="33" t="str">
        <f t="shared" si="2"/>
        <v>Moyenne bloquée</v>
      </c>
      <c r="F51" s="33"/>
      <c r="G51" s="33"/>
      <c r="H51" s="33"/>
      <c r="I51" s="33"/>
      <c r="J51" s="33"/>
      <c r="K51" s="33"/>
      <c r="L51" s="33"/>
      <c r="M51" s="31"/>
      <c r="N51" s="31"/>
      <c r="O51" s="31"/>
      <c r="P51" s="31"/>
      <c r="Q51" s="31"/>
      <c r="R51" s="31"/>
      <c r="S51" s="31"/>
    </row>
    <row r="52" spans="1:19" x14ac:dyDescent="0.3">
      <c r="A52" s="33">
        <f t="shared" si="0"/>
        <v>0.48749999999999999</v>
      </c>
      <c r="B52" s="33"/>
      <c r="C52" s="33">
        <f t="shared" si="1"/>
        <v>0.85</v>
      </c>
      <c r="D52" s="33"/>
      <c r="E52" s="33">
        <f t="shared" si="2"/>
        <v>0.63749999999999996</v>
      </c>
      <c r="F52" s="33"/>
      <c r="G52" s="33" t="s">
        <v>70</v>
      </c>
      <c r="H52" s="33" t="s">
        <v>71</v>
      </c>
      <c r="I52" s="33"/>
      <c r="J52" s="33"/>
      <c r="K52" s="33"/>
      <c r="L52" s="33"/>
      <c r="M52" s="31"/>
      <c r="N52" s="31"/>
      <c r="O52" s="31"/>
      <c r="P52" s="31"/>
      <c r="Q52" s="31"/>
      <c r="R52" s="31"/>
      <c r="S52" s="31"/>
    </row>
    <row r="53" spans="1:19" x14ac:dyDescent="0.3">
      <c r="A53" s="33">
        <f t="shared" si="0"/>
        <v>0.31666666666666665</v>
      </c>
      <c r="B53" s="33"/>
      <c r="C53" s="33">
        <f t="shared" si="1"/>
        <v>0.35</v>
      </c>
      <c r="D53" s="33"/>
      <c r="E53" s="33"/>
      <c r="F53" s="33"/>
      <c r="G53" s="34">
        <f>AVERAGE(Semestre1!H38,Semestre1!H34)</f>
        <v>8.1067499999999999</v>
      </c>
      <c r="H53" s="34">
        <f>IF(OR(H38="Moyenne bloquée",Semestre1!H34="Moyenne bloquée"),"Moyenne bloquée",AVERAGE(H38,Semestre1!H34))</f>
        <v>11.417958333333333</v>
      </c>
      <c r="I53" s="33"/>
      <c r="J53" s="33" t="str">
        <f>IF(OR(H53="Moyenne bloquée",H54="Moyenne bloquée",H55="Moyenne bloquée"),"Vous ne passez pas en deuxième année",IF(AND(COUNTIF(H53:H55,"&gt;=10")&gt;=2,COUNTIF(H53:H55,"&gt;=8")=3),"Vous passez en deuxième année","Vous ne passez pas en deuxième année"))</f>
        <v>Vous ne passez pas en deuxième année</v>
      </c>
      <c r="K53" s="33"/>
      <c r="L53" s="33"/>
      <c r="M53" s="31"/>
      <c r="N53" s="31"/>
      <c r="O53" s="31"/>
      <c r="P53" s="31"/>
      <c r="Q53" s="31"/>
      <c r="R53" s="31"/>
      <c r="S53" s="31"/>
    </row>
    <row r="54" spans="1:19" x14ac:dyDescent="0.3">
      <c r="A54" s="33"/>
      <c r="B54" s="33"/>
      <c r="C54" s="33">
        <f t="shared" si="1"/>
        <v>0.45833333333333326</v>
      </c>
      <c r="D54" s="33"/>
      <c r="E54" s="33"/>
      <c r="F54" s="33"/>
      <c r="G54" s="34">
        <f>AVERAGE(H39,Semestre1!H35)</f>
        <v>9.2416666666666654</v>
      </c>
      <c r="H54" s="34" t="str">
        <f>IF(OR(H39="Moyenne bloquée",Semestre1!H35="Moyenne bloquée"),"Moyenne bloquée",AVERAGE(H39,Semestre1!H35))</f>
        <v>Moyenne bloquée</v>
      </c>
      <c r="I54" s="33"/>
      <c r="J54" s="33"/>
      <c r="K54" s="33"/>
      <c r="L54" s="33"/>
      <c r="M54" s="31"/>
      <c r="N54" s="31"/>
      <c r="O54" s="31"/>
      <c r="P54" s="31"/>
      <c r="Q54" s="31"/>
      <c r="R54" s="31"/>
      <c r="S54" s="31"/>
    </row>
    <row r="55" spans="1:19" x14ac:dyDescent="0.3">
      <c r="A55" s="33"/>
      <c r="B55" s="33"/>
      <c r="C55" s="33"/>
      <c r="D55" s="33"/>
      <c r="E55" s="33"/>
      <c r="F55" s="33"/>
      <c r="G55" s="34">
        <f>AVERAGE(H40,Semestre1!H36)</f>
        <v>10.7875</v>
      </c>
      <c r="H55" s="34" t="str">
        <f>IF(OR(H40="Moyenne bloquée",Semestre1!H36="Moyenne bloquée"),"Moyenne bloquée",AVERAGE(H40,Semestre1!H36))</f>
        <v>Moyenne bloquée</v>
      </c>
      <c r="I55" s="33"/>
      <c r="J55" s="33"/>
      <c r="K55" s="33"/>
      <c r="L55" s="33"/>
      <c r="M55" s="31"/>
      <c r="N55" s="31"/>
      <c r="O55" s="31"/>
      <c r="P55" s="31"/>
      <c r="Q55" s="31"/>
      <c r="R55" s="31"/>
      <c r="S55" s="31"/>
    </row>
    <row r="56" spans="1:19" x14ac:dyDescent="0.3">
      <c r="A56" s="33"/>
      <c r="B56" s="33"/>
      <c r="C56" s="33"/>
      <c r="D56" s="33"/>
      <c r="E56" s="33"/>
      <c r="F56" s="33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</row>
    <row r="57" spans="1:19" x14ac:dyDescent="0.3">
      <c r="A57" s="33"/>
      <c r="B57" s="33"/>
      <c r="C57" s="33"/>
      <c r="D57" s="33"/>
      <c r="E57" s="33"/>
      <c r="F57" s="33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</row>
    <row r="58" spans="1:19" x14ac:dyDescent="0.3">
      <c r="A58" s="33"/>
      <c r="B58" s="33"/>
      <c r="C58" s="33"/>
      <c r="D58" s="33"/>
      <c r="E58" s="33"/>
      <c r="F58" s="33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</row>
    <row r="59" spans="1:19" x14ac:dyDescent="0.3">
      <c r="A59" s="33"/>
      <c r="B59" s="33"/>
      <c r="C59" s="33"/>
      <c r="D59" s="33"/>
      <c r="E59" s="33"/>
      <c r="F59" s="33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</row>
    <row r="60" spans="1:19" x14ac:dyDescent="0.3">
      <c r="A60" s="33"/>
      <c r="B60" s="33"/>
      <c r="C60" s="33"/>
      <c r="D60" s="33"/>
      <c r="E60" s="33"/>
      <c r="F60" s="33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</row>
    <row r="61" spans="1:19" x14ac:dyDescent="0.3">
      <c r="A61" s="33"/>
      <c r="B61" s="33"/>
      <c r="C61" s="33"/>
      <c r="D61" s="33"/>
      <c r="E61" s="33"/>
      <c r="F61" s="33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</row>
    <row r="62" spans="1:19" x14ac:dyDescent="0.3">
      <c r="A62" s="33"/>
      <c r="B62" s="33"/>
      <c r="C62" s="33"/>
      <c r="D62" s="33"/>
      <c r="E62" s="33"/>
      <c r="F62" s="33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</row>
    <row r="63" spans="1:19" x14ac:dyDescent="0.3">
      <c r="A63" s="33"/>
      <c r="B63" s="33"/>
      <c r="C63" s="33"/>
      <c r="D63" s="33"/>
      <c r="E63" s="33"/>
      <c r="F63" s="33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</row>
    <row r="64" spans="1:19" x14ac:dyDescent="0.3">
      <c r="A64" s="33"/>
      <c r="B64" s="33"/>
      <c r="C64" s="33"/>
      <c r="D64" s="33"/>
      <c r="E64" s="33"/>
      <c r="F64" s="33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</row>
    <row r="65" spans="1:19" x14ac:dyDescent="0.3">
      <c r="A65" s="33"/>
      <c r="B65" s="33"/>
      <c r="C65" s="33"/>
      <c r="D65" s="33"/>
      <c r="E65" s="33"/>
      <c r="F65" s="33">
        <f>(B35-5)*0.2</f>
        <v>0.4</v>
      </c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</row>
    <row r="66" spans="1:19" x14ac:dyDescent="0.3">
      <c r="A66" s="33"/>
      <c r="B66" s="33"/>
      <c r="C66" s="33"/>
      <c r="D66" s="33"/>
      <c r="E66" s="33"/>
      <c r="F66" s="33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</row>
    <row r="67" spans="1:19" x14ac:dyDescent="0.3">
      <c r="A67" s="33"/>
      <c r="B67" s="33"/>
      <c r="C67" s="33"/>
      <c r="D67" s="33"/>
      <c r="E67" s="33"/>
      <c r="F67" s="33"/>
    </row>
    <row r="68" spans="1:19" x14ac:dyDescent="0.3">
      <c r="A68" s="33"/>
      <c r="B68" s="33"/>
      <c r="C68" s="33"/>
      <c r="D68" s="33"/>
      <c r="E68" s="33"/>
      <c r="F68" s="33"/>
    </row>
    <row r="69" spans="1:19" x14ac:dyDescent="0.3">
      <c r="A69" s="33"/>
      <c r="B69" s="33"/>
      <c r="C69" s="33"/>
      <c r="D69" s="33"/>
      <c r="E69" s="33"/>
      <c r="F69" s="33"/>
    </row>
    <row r="70" spans="1:19" x14ac:dyDescent="0.3">
      <c r="A70" s="33"/>
      <c r="B70" s="33"/>
      <c r="C70" s="33"/>
      <c r="D70" s="33"/>
      <c r="E70" s="33"/>
      <c r="F70" s="33"/>
    </row>
    <row r="71" spans="1:19" x14ac:dyDescent="0.3">
      <c r="A71" s="33"/>
      <c r="B71" s="33"/>
      <c r="C71" s="33"/>
      <c r="D71" s="33"/>
      <c r="E71" s="33"/>
      <c r="F71" s="33"/>
    </row>
    <row r="72" spans="1:19" x14ac:dyDescent="0.3">
      <c r="A72" s="33"/>
      <c r="B72" s="33"/>
      <c r="C72" s="33"/>
      <c r="D72" s="33"/>
      <c r="E72" s="33"/>
      <c r="F72" s="33"/>
    </row>
    <row r="73" spans="1:19" x14ac:dyDescent="0.3">
      <c r="A73" s="33"/>
      <c r="B73" s="33"/>
      <c r="C73" s="33"/>
      <c r="D73" s="33"/>
      <c r="E73" s="33"/>
      <c r="F73" s="33"/>
    </row>
    <row r="74" spans="1:19" ht="15" x14ac:dyDescent="0.3">
      <c r="A74" s="36"/>
      <c r="B74" s="33"/>
      <c r="C74" s="33"/>
      <c r="D74" s="33"/>
      <c r="E74" s="33"/>
      <c r="F74" s="33"/>
    </row>
    <row r="75" spans="1:19" x14ac:dyDescent="0.3">
      <c r="A75" s="33"/>
      <c r="B75" s="34"/>
      <c r="C75" s="33"/>
      <c r="D75" s="33"/>
      <c r="E75" s="33"/>
      <c r="F75" s="33"/>
    </row>
    <row r="76" spans="1:19" x14ac:dyDescent="0.3">
      <c r="A76" s="33"/>
      <c r="B76" s="33"/>
      <c r="C76" s="33"/>
      <c r="D76" s="33"/>
      <c r="E76" s="33"/>
      <c r="F76" s="33"/>
    </row>
    <row r="77" spans="1:19" x14ac:dyDescent="0.3">
      <c r="A77" s="33"/>
      <c r="B77" s="33"/>
      <c r="C77" s="33"/>
      <c r="D77" s="33"/>
      <c r="E77" s="33"/>
      <c r="F77" s="33"/>
    </row>
    <row r="78" spans="1:19" x14ac:dyDescent="0.3">
      <c r="A78" s="33"/>
      <c r="B78" s="33"/>
      <c r="C78" s="33"/>
      <c r="D78" s="33"/>
      <c r="E78" s="33"/>
      <c r="F78" s="33"/>
    </row>
    <row r="79" spans="1:19" x14ac:dyDescent="0.3">
      <c r="A79" s="33"/>
      <c r="B79" s="33"/>
      <c r="C79" s="33"/>
      <c r="D79" s="33"/>
      <c r="E79" s="33"/>
      <c r="F79" s="33"/>
    </row>
    <row r="80" spans="1:19" x14ac:dyDescent="0.3">
      <c r="A80" s="33"/>
      <c r="B80" s="33"/>
      <c r="C80" s="33"/>
      <c r="D80" s="33"/>
      <c r="E80" s="33"/>
      <c r="F80" s="33"/>
    </row>
    <row r="81" spans="1:6" x14ac:dyDescent="0.3">
      <c r="A81" s="33"/>
      <c r="B81" s="33"/>
      <c r="C81" s="33"/>
      <c r="D81" s="33"/>
      <c r="E81" s="33"/>
      <c r="F81" s="33"/>
    </row>
    <row r="82" spans="1:6" x14ac:dyDescent="0.3">
      <c r="A82" s="33"/>
      <c r="B82" s="33"/>
      <c r="C82" s="33"/>
      <c r="D82" s="33"/>
      <c r="E82" s="33"/>
      <c r="F82" s="33"/>
    </row>
    <row r="83" spans="1:6" x14ac:dyDescent="0.3">
      <c r="A83" s="33"/>
      <c r="B83" s="33"/>
      <c r="C83" s="33"/>
      <c r="D83" s="33"/>
      <c r="E83" s="33"/>
      <c r="F83" s="33"/>
    </row>
    <row r="84" spans="1:6" x14ac:dyDescent="0.3">
      <c r="A84" s="33"/>
      <c r="B84" s="33"/>
      <c r="C84" s="33"/>
      <c r="D84" s="33"/>
      <c r="E84" s="33"/>
      <c r="F84" s="33"/>
    </row>
    <row r="85" spans="1:6" x14ac:dyDescent="0.3">
      <c r="A85" s="33"/>
      <c r="B85" s="33"/>
      <c r="C85" s="33"/>
      <c r="D85" s="33"/>
      <c r="E85" s="33"/>
      <c r="F85" s="33"/>
    </row>
    <row r="86" spans="1:6" x14ac:dyDescent="0.3">
      <c r="A86" s="33"/>
      <c r="B86" s="33"/>
      <c r="C86" s="33"/>
      <c r="D86" s="33"/>
      <c r="E86" s="33"/>
      <c r="F86" s="33"/>
    </row>
    <row r="87" spans="1:6" x14ac:dyDescent="0.3">
      <c r="A87" s="33"/>
      <c r="B87" s="33"/>
      <c r="C87" s="33"/>
      <c r="D87" s="33"/>
      <c r="E87" s="33"/>
      <c r="F87" s="33"/>
    </row>
    <row r="88" spans="1:6" x14ac:dyDescent="0.3">
      <c r="A88" s="33"/>
      <c r="B88" s="33"/>
      <c r="C88" s="33"/>
      <c r="D88" s="33"/>
      <c r="E88" s="33"/>
      <c r="F88" s="33"/>
    </row>
    <row r="89" spans="1:6" x14ac:dyDescent="0.3">
      <c r="A89" s="33"/>
      <c r="B89" s="33"/>
      <c r="C89" s="33"/>
      <c r="D89" s="33"/>
      <c r="E89" s="33"/>
      <c r="F89" s="33"/>
    </row>
    <row r="90" spans="1:6" x14ac:dyDescent="0.3">
      <c r="A90" s="33"/>
      <c r="B90" s="33"/>
      <c r="C90" s="33"/>
      <c r="D90" s="33"/>
      <c r="E90" s="33"/>
      <c r="F90" s="33"/>
    </row>
    <row r="91" spans="1:6" x14ac:dyDescent="0.3">
      <c r="A91" s="33"/>
      <c r="B91" s="33" t="s">
        <v>78</v>
      </c>
      <c r="C91" s="33" t="s">
        <v>79</v>
      </c>
      <c r="D91" s="33" t="s">
        <v>80</v>
      </c>
      <c r="E91" s="33"/>
      <c r="F91" s="33"/>
    </row>
    <row r="92" spans="1:6" x14ac:dyDescent="0.3">
      <c r="A92" s="33" t="s">
        <v>82</v>
      </c>
      <c r="B92" s="34">
        <f>Semestre1!F4</f>
        <v>8.0067500000000003</v>
      </c>
      <c r="C92" s="34" t="str">
        <f>Semestre1!F11</f>
        <v>Moyenne bloquée</v>
      </c>
      <c r="D92" s="34">
        <f>Semestre1!F17</f>
        <v>10.6875</v>
      </c>
      <c r="E92" s="33"/>
      <c r="F92" s="33"/>
    </row>
    <row r="93" spans="1:6" x14ac:dyDescent="0.3">
      <c r="A93" s="33" t="s">
        <v>81</v>
      </c>
      <c r="B93" s="34">
        <f>F4</f>
        <v>14.929166666666667</v>
      </c>
      <c r="C93" s="34">
        <f>F14</f>
        <v>9.4416666666666664</v>
      </c>
      <c r="D93" s="34" t="str">
        <f>F25</f>
        <v>Moyenne bloquée</v>
      </c>
      <c r="E93" s="33"/>
      <c r="F93" s="33"/>
    </row>
  </sheetData>
  <sheetProtection sheet="1" objects="1" scenarios="1"/>
  <protectedRanges>
    <protectedRange sqref="B34" name="Plage2"/>
    <protectedRange sqref="H3:Z32 A35:B37" name="Plage1"/>
  </protectedRanges>
  <mergeCells count="3">
    <mergeCell ref="F4:F12"/>
    <mergeCell ref="F14:F23"/>
    <mergeCell ref="F25:F32"/>
  </mergeCells>
  <phoneticPr fontId="4" type="noConversion"/>
  <pageMargins left="0.7" right="0.7" top="0.75" bottom="0.75" header="0.3" footer="0.3"/>
  <pageSetup paperSize="9" orientation="portrait" verticalDpi="0" r:id="rId1"/>
  <ignoredErrors>
    <ignoredError sqref="F40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Tableau de bord</vt:lpstr>
      <vt:lpstr>Graphique</vt:lpstr>
      <vt:lpstr>Semestre1</vt:lpstr>
      <vt:lpstr>Semestre2</vt:lpstr>
    </vt:vector>
  </TitlesOfParts>
  <Company>Universite de Poitiers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BILLAUD NOLAN</dc:creator>
  <cp:lastModifiedBy>n b</cp:lastModifiedBy>
  <dcterms:created xsi:type="dcterms:W3CDTF">2025-12-12T09:55:38Z</dcterms:created>
  <dcterms:modified xsi:type="dcterms:W3CDTF">2025-12-21T23:55:06Z</dcterms:modified>
</cp:coreProperties>
</file>